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vebird\git_project\rayline_dev\"/>
    </mc:Choice>
  </mc:AlternateContent>
  <bookViews>
    <workbookView xWindow="0" yWindow="0" windowWidth="20730" windowHeight="11760" activeTab="2"/>
  </bookViews>
  <sheets>
    <sheet name="cord" sheetId="1" r:id="rId1"/>
    <sheet name="map" sheetId="7" r:id="rId2"/>
    <sheet name="block" sheetId="8" r:id="rId3"/>
    <sheet name="block_gen" sheetId="9" r:id="rId4"/>
    <sheet name="gen_final" sheetId="12" r:id="rId5"/>
    <sheet name="cfg" sheetId="10" r:id="rId6"/>
    <sheet name="origin" sheetId="3" r:id="rId7"/>
    <sheet name="todo" sheetId="6" r:id="rId8"/>
  </sheets>
  <functionGroups builtInGroupCount="18"/>
  <definedNames>
    <definedName name="_xlnm._FilterDatabase" localSheetId="3" hidden="1">block_gen!$A$1:$H$1</definedName>
    <definedName name="_xlnm._FilterDatabase" localSheetId="4" hidden="1">gen_final!$A$1:$H$1</definedName>
    <definedName name="COLORS">cfg!$F$3:$F$8</definedName>
    <definedName name="MAX_COLOR_ID">cfg!$I$2</definedName>
    <definedName name="MIN_COLOR_ID">cfg!$I$3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2" l="1"/>
  <c r="D18" i="12" s="1"/>
  <c r="B17" i="12"/>
  <c r="C17" i="12" s="1"/>
  <c r="E17" i="12" s="1"/>
  <c r="B16" i="12"/>
  <c r="C16" i="12" s="1"/>
  <c r="E16" i="12" s="1"/>
  <c r="B15" i="12"/>
  <c r="D15" i="12" s="1"/>
  <c r="B14" i="12"/>
  <c r="D14" i="12" s="1"/>
  <c r="B13" i="12"/>
  <c r="C13" i="12" s="1"/>
  <c r="E13" i="12" s="1"/>
  <c r="B12" i="12"/>
  <c r="C12" i="12" s="1"/>
  <c r="E12" i="12" s="1"/>
  <c r="B11" i="12"/>
  <c r="C11" i="12" s="1"/>
  <c r="E11" i="12" s="1"/>
  <c r="B10" i="12"/>
  <c r="D10" i="12" s="1"/>
  <c r="B9" i="12"/>
  <c r="C9" i="12" s="1"/>
  <c r="E9" i="12" s="1"/>
  <c r="B8" i="12"/>
  <c r="C8" i="12" s="1"/>
  <c r="E8" i="12" s="1"/>
  <c r="B7" i="12"/>
  <c r="D7" i="12" s="1"/>
  <c r="B6" i="12"/>
  <c r="D6" i="12" s="1"/>
  <c r="F50" i="12"/>
  <c r="B50" i="12"/>
  <c r="C50" i="12" s="1"/>
  <c r="E50" i="12" s="1"/>
  <c r="D49" i="12"/>
  <c r="B49" i="12"/>
  <c r="C49" i="12" s="1"/>
  <c r="E49" i="12" s="1"/>
  <c r="D48" i="12"/>
  <c r="B48" i="12"/>
  <c r="C48" i="12" s="1"/>
  <c r="E48" i="12" s="1"/>
  <c r="B47" i="12"/>
  <c r="D47" i="12" s="1"/>
  <c r="B46" i="12"/>
  <c r="C46" i="12" s="1"/>
  <c r="E46" i="12" s="1"/>
  <c r="B45" i="12"/>
  <c r="C45" i="12" s="1"/>
  <c r="E45" i="12" s="1"/>
  <c r="B44" i="12"/>
  <c r="D44" i="12" s="1"/>
  <c r="B43" i="12"/>
  <c r="D43" i="12" s="1"/>
  <c r="B42" i="12"/>
  <c r="C42" i="12" s="1"/>
  <c r="E42" i="12" s="1"/>
  <c r="B41" i="12"/>
  <c r="C41" i="12" s="1"/>
  <c r="E41" i="12" s="1"/>
  <c r="B40" i="12"/>
  <c r="C40" i="12" s="1"/>
  <c r="E40" i="12" s="1"/>
  <c r="B39" i="12"/>
  <c r="D39" i="12" s="1"/>
  <c r="B38" i="12"/>
  <c r="C38" i="12" s="1"/>
  <c r="E38" i="12" s="1"/>
  <c r="B37" i="12"/>
  <c r="C37" i="12" s="1"/>
  <c r="E37" i="12" s="1"/>
  <c r="B36" i="12"/>
  <c r="D36" i="12" s="1"/>
  <c r="B35" i="12"/>
  <c r="D35" i="12" s="1"/>
  <c r="B34" i="12"/>
  <c r="C34" i="12" s="1"/>
  <c r="E34" i="12" s="1"/>
  <c r="D33" i="12"/>
  <c r="B33" i="12"/>
  <c r="C33" i="12" s="1"/>
  <c r="E33" i="12" s="1"/>
  <c r="D32" i="12"/>
  <c r="B32" i="12"/>
  <c r="C32" i="12" s="1"/>
  <c r="E32" i="12" s="1"/>
  <c r="B31" i="12"/>
  <c r="D31" i="12" s="1"/>
  <c r="B30" i="12"/>
  <c r="C30" i="12" s="1"/>
  <c r="E30" i="12" s="1"/>
  <c r="B29" i="12"/>
  <c r="C29" i="12" s="1"/>
  <c r="E29" i="12" s="1"/>
  <c r="B28" i="12"/>
  <c r="D28" i="12" s="1"/>
  <c r="B27" i="12"/>
  <c r="D27" i="12" s="1"/>
  <c r="B26" i="12"/>
  <c r="C26" i="12" s="1"/>
  <c r="E26" i="12" s="1"/>
  <c r="B25" i="12"/>
  <c r="C25" i="12" s="1"/>
  <c r="E25" i="12" s="1"/>
  <c r="B24" i="12"/>
  <c r="C24" i="12" s="1"/>
  <c r="E24" i="12" s="1"/>
  <c r="B23" i="12"/>
  <c r="D23" i="12" s="1"/>
  <c r="B22" i="12"/>
  <c r="C22" i="12" s="1"/>
  <c r="E22" i="12" s="1"/>
  <c r="D21" i="12"/>
  <c r="B21" i="12"/>
  <c r="C21" i="12" s="1"/>
  <c r="E21" i="12" s="1"/>
  <c r="B20" i="12"/>
  <c r="D20" i="12" s="1"/>
  <c r="B19" i="12"/>
  <c r="D19" i="12" s="1"/>
  <c r="B5" i="12"/>
  <c r="C5" i="12" s="1"/>
  <c r="E5" i="12" s="1"/>
  <c r="B4" i="12"/>
  <c r="C4" i="12" s="1"/>
  <c r="E4" i="12" s="1"/>
  <c r="B3" i="12"/>
  <c r="C3" i="12" s="1"/>
  <c r="E3" i="12" s="1"/>
  <c r="B2" i="12"/>
  <c r="D2" i="12" s="1"/>
  <c r="B50" i="9"/>
  <c r="D50" i="9" s="1"/>
  <c r="B43" i="9"/>
  <c r="C43" i="9" s="1"/>
  <c r="E43" i="9" s="1"/>
  <c r="B44" i="9"/>
  <c r="D44" i="9" s="1"/>
  <c r="B45" i="9"/>
  <c r="D45" i="9" s="1"/>
  <c r="B46" i="9"/>
  <c r="D46" i="9" s="1"/>
  <c r="B47" i="9"/>
  <c r="C47" i="9" s="1"/>
  <c r="E47" i="9" s="1"/>
  <c r="B48" i="9"/>
  <c r="D48" i="9" s="1"/>
  <c r="B49" i="9"/>
  <c r="C49" i="9" s="1"/>
  <c r="E49" i="9" s="1"/>
  <c r="B35" i="9"/>
  <c r="D35" i="9" s="1"/>
  <c r="B36" i="9"/>
  <c r="C36" i="9" s="1"/>
  <c r="E36" i="9" s="1"/>
  <c r="B37" i="9"/>
  <c r="C37" i="9" s="1"/>
  <c r="E37" i="9" s="1"/>
  <c r="D37" i="9"/>
  <c r="B38" i="9"/>
  <c r="C38" i="9" s="1"/>
  <c r="E38" i="9" s="1"/>
  <c r="B39" i="9"/>
  <c r="D39" i="9" s="1"/>
  <c r="B40" i="9"/>
  <c r="C40" i="9"/>
  <c r="E40" i="9" s="1"/>
  <c r="D40" i="9"/>
  <c r="F8" i="12" s="1"/>
  <c r="B41" i="9"/>
  <c r="C41" i="9" s="1"/>
  <c r="E41" i="9" s="1"/>
  <c r="B42" i="9"/>
  <c r="C42" i="9" s="1"/>
  <c r="E42" i="9" s="1"/>
  <c r="B28" i="9"/>
  <c r="D28" i="9" s="1"/>
  <c r="B29" i="9"/>
  <c r="D29" i="9" s="1"/>
  <c r="B30" i="9"/>
  <c r="D30" i="9" s="1"/>
  <c r="B31" i="9"/>
  <c r="D31" i="9" s="1"/>
  <c r="B32" i="9"/>
  <c r="C32" i="9" s="1"/>
  <c r="E32" i="9" s="1"/>
  <c r="B33" i="9"/>
  <c r="C33" i="9" s="1"/>
  <c r="E33" i="9" s="1"/>
  <c r="B34" i="9"/>
  <c r="D34" i="9" s="1"/>
  <c r="B3" i="9"/>
  <c r="C3" i="9" s="1"/>
  <c r="E3" i="9" s="1"/>
  <c r="T138" i="8"/>
  <c r="C18" i="8"/>
  <c r="T18" i="8"/>
  <c r="D3" i="12" l="1"/>
  <c r="D4" i="12"/>
  <c r="C44" i="12"/>
  <c r="E44" i="12" s="1"/>
  <c r="C15" i="12"/>
  <c r="E15" i="12" s="1"/>
  <c r="D32" i="9"/>
  <c r="D37" i="12"/>
  <c r="D8" i="12"/>
  <c r="C28" i="12"/>
  <c r="E28" i="12" s="1"/>
  <c r="C20" i="12"/>
  <c r="E20" i="12" s="1"/>
  <c r="D24" i="12"/>
  <c r="D25" i="12"/>
  <c r="C36" i="12"/>
  <c r="E36" i="12" s="1"/>
  <c r="D40" i="12"/>
  <c r="D41" i="12"/>
  <c r="C7" i="12"/>
  <c r="E7" i="12" s="1"/>
  <c r="D11" i="12"/>
  <c r="D12" i="12"/>
  <c r="D29" i="12"/>
  <c r="D45" i="12"/>
  <c r="D16" i="12"/>
  <c r="F45" i="12" l="1"/>
  <c r="C2" i="12"/>
  <c r="E2" i="12" s="1"/>
  <c r="D5" i="12"/>
  <c r="D22" i="12"/>
  <c r="D26" i="12"/>
  <c r="D30" i="12"/>
  <c r="D34" i="12"/>
  <c r="D38" i="12"/>
  <c r="D42" i="12"/>
  <c r="D46" i="12"/>
  <c r="D50" i="12"/>
  <c r="D9" i="12"/>
  <c r="D13" i="12"/>
  <c r="D17" i="12"/>
  <c r="C19" i="12"/>
  <c r="E19" i="12" s="1"/>
  <c r="C23" i="12"/>
  <c r="E23" i="12" s="1"/>
  <c r="C27" i="12"/>
  <c r="E27" i="12" s="1"/>
  <c r="C31" i="12"/>
  <c r="E31" i="12" s="1"/>
  <c r="C35" i="12"/>
  <c r="E35" i="12" s="1"/>
  <c r="C39" i="12"/>
  <c r="E39" i="12" s="1"/>
  <c r="C43" i="12"/>
  <c r="E43" i="12" s="1"/>
  <c r="C47" i="12"/>
  <c r="E47" i="12" s="1"/>
  <c r="C6" i="12"/>
  <c r="E6" i="12" s="1"/>
  <c r="C10" i="12"/>
  <c r="E10" i="12" s="1"/>
  <c r="C14" i="12"/>
  <c r="E14" i="12" s="1"/>
  <c r="C18" i="12"/>
  <c r="E18" i="12" s="1"/>
  <c r="C44" i="9"/>
  <c r="E44" i="9" s="1"/>
  <c r="D33" i="9"/>
  <c r="C29" i="9"/>
  <c r="E29" i="9" s="1"/>
  <c r="F42" i="12" s="1"/>
  <c r="D41" i="9"/>
  <c r="D36" i="9"/>
  <c r="D49" i="9"/>
  <c r="C50" i="9"/>
  <c r="E50" i="9" s="1"/>
  <c r="C31" i="9"/>
  <c r="E31" i="9" s="1"/>
  <c r="F44" i="12" s="1"/>
  <c r="C28" i="9"/>
  <c r="E28" i="9" s="1"/>
  <c r="F41" i="12" s="1"/>
  <c r="C39" i="9"/>
  <c r="E39" i="9" s="1"/>
  <c r="C35" i="9"/>
  <c r="E35" i="9" s="1"/>
  <c r="C48" i="9"/>
  <c r="E48" i="9" s="1"/>
  <c r="C46" i="9"/>
  <c r="E46" i="9" s="1"/>
  <c r="C45" i="9"/>
  <c r="E45" i="9" s="1"/>
  <c r="D47" i="9"/>
  <c r="D43" i="9"/>
  <c r="D42" i="9"/>
  <c r="D38" i="9"/>
  <c r="C34" i="9"/>
  <c r="E34" i="9" s="1"/>
  <c r="C30" i="9"/>
  <c r="E30" i="9" s="1"/>
  <c r="F43" i="12" s="1"/>
  <c r="D3" i="9"/>
  <c r="B4" i="9"/>
  <c r="D4" i="9" s="1"/>
  <c r="C4" i="9"/>
  <c r="E4" i="9" s="1"/>
  <c r="B5" i="9"/>
  <c r="C5" i="9" s="1"/>
  <c r="E5" i="9" s="1"/>
  <c r="F11" i="12" l="1"/>
  <c r="F16" i="12"/>
  <c r="F10" i="12"/>
  <c r="F14" i="12"/>
  <c r="F49" i="12"/>
  <c r="F12" i="12"/>
  <c r="F47" i="12"/>
  <c r="F48" i="9"/>
  <c r="F9" i="12"/>
  <c r="F4" i="12"/>
  <c r="F6" i="12"/>
  <c r="F15" i="12"/>
  <c r="F48" i="12"/>
  <c r="F50" i="9"/>
  <c r="F18" i="12"/>
  <c r="F3" i="12"/>
  <c r="F45" i="9"/>
  <c r="F13" i="12"/>
  <c r="F7" i="12"/>
  <c r="F49" i="9"/>
  <c r="F17" i="12"/>
  <c r="F46" i="9"/>
  <c r="F46" i="12"/>
  <c r="F44" i="9"/>
  <c r="F41" i="9"/>
  <c r="F4" i="9" l="1"/>
  <c r="F3" i="9"/>
  <c r="F47" i="9"/>
  <c r="F43" i="9"/>
  <c r="F42" i="9"/>
  <c r="D5" i="9"/>
  <c r="B6" i="9"/>
  <c r="D6" i="9" s="1"/>
  <c r="B7" i="9"/>
  <c r="C7" i="9" s="1"/>
  <c r="E7" i="9" s="1"/>
  <c r="F5" i="12" l="1"/>
  <c r="F19" i="12"/>
  <c r="C6" i="9"/>
  <c r="E6" i="9" s="1"/>
  <c r="F5" i="9"/>
  <c r="F6" i="9"/>
  <c r="D7" i="9"/>
  <c r="B8" i="9"/>
  <c r="D8" i="9" s="1"/>
  <c r="C8" i="9"/>
  <c r="E8" i="9" s="1"/>
  <c r="B9" i="9"/>
  <c r="C9" i="9" s="1"/>
  <c r="E9" i="9" s="1"/>
  <c r="F21" i="12" l="1"/>
  <c r="F20" i="12"/>
  <c r="F8" i="9"/>
  <c r="F7" i="9"/>
  <c r="D9" i="9"/>
  <c r="B10" i="9"/>
  <c r="D10" i="9" s="1"/>
  <c r="B11" i="9"/>
  <c r="C11" i="9" s="1"/>
  <c r="E11" i="9" s="1"/>
  <c r="F23" i="12" l="1"/>
  <c r="F22" i="12"/>
  <c r="C10" i="9"/>
  <c r="E10" i="9" s="1"/>
  <c r="F10" i="9"/>
  <c r="F9" i="9"/>
  <c r="D11" i="9"/>
  <c r="B12" i="9"/>
  <c r="D12" i="9" s="1"/>
  <c r="B13" i="9"/>
  <c r="C13" i="9" s="1"/>
  <c r="E13" i="9" s="1"/>
  <c r="F24" i="12" l="1"/>
  <c r="C12" i="9"/>
  <c r="E12" i="9" s="1"/>
  <c r="F12" i="9"/>
  <c r="F11" i="9"/>
  <c r="D13" i="9"/>
  <c r="B14" i="9"/>
  <c r="D14" i="9" s="1"/>
  <c r="B15" i="9"/>
  <c r="C15" i="9" s="1"/>
  <c r="E15" i="9" s="1"/>
  <c r="F26" i="12" l="1"/>
  <c r="F25" i="12"/>
  <c r="C14" i="9"/>
  <c r="E14" i="9" s="1"/>
  <c r="F13" i="9"/>
  <c r="D15" i="9"/>
  <c r="B16" i="9"/>
  <c r="C16" i="9" s="1"/>
  <c r="E16" i="9" s="1"/>
  <c r="D16" i="9"/>
  <c r="B17" i="9"/>
  <c r="C17" i="9" s="1"/>
  <c r="E17" i="9" s="1"/>
  <c r="F14" i="9" l="1"/>
  <c r="F27" i="12"/>
  <c r="F29" i="12"/>
  <c r="F28" i="9"/>
  <c r="F28" i="12"/>
  <c r="F29" i="9"/>
  <c r="F16" i="9"/>
  <c r="F15" i="9"/>
  <c r="D17" i="9"/>
  <c r="B18" i="9"/>
  <c r="D18" i="9" s="1"/>
  <c r="B19" i="9"/>
  <c r="C19" i="9" s="1"/>
  <c r="E19" i="9" s="1"/>
  <c r="F30" i="9" l="1"/>
  <c r="F30" i="12"/>
  <c r="C18" i="9"/>
  <c r="E18" i="9" s="1"/>
  <c r="F31" i="9" s="1"/>
  <c r="F17" i="9"/>
  <c r="D19" i="9"/>
  <c r="B20" i="9"/>
  <c r="C20" i="9" s="1"/>
  <c r="E20" i="9" s="1"/>
  <c r="B21" i="9"/>
  <c r="C21" i="9" s="1"/>
  <c r="E21" i="9" s="1"/>
  <c r="F32" i="12" l="1"/>
  <c r="F31" i="12"/>
  <c r="F18" i="9"/>
  <c r="F32" i="9"/>
  <c r="D20" i="9"/>
  <c r="F19" i="9"/>
  <c r="D21" i="9"/>
  <c r="B22" i="9"/>
  <c r="C22" i="9" s="1"/>
  <c r="E22" i="9" s="1"/>
  <c r="B23" i="9"/>
  <c r="C23" i="9" s="1"/>
  <c r="E23" i="9" s="1"/>
  <c r="F33" i="12" l="1"/>
  <c r="F34" i="12"/>
  <c r="D22" i="9"/>
  <c r="F20" i="9"/>
  <c r="F34" i="9"/>
  <c r="F35" i="9"/>
  <c r="F33" i="9"/>
  <c r="F22" i="9"/>
  <c r="F21" i="9"/>
  <c r="D23" i="9"/>
  <c r="B24" i="9"/>
  <c r="C24" i="9" s="1"/>
  <c r="E24" i="9" s="1"/>
  <c r="B25" i="9"/>
  <c r="C25" i="9" s="1"/>
  <c r="E25" i="9" s="1"/>
  <c r="F36" i="12" l="1"/>
  <c r="F35" i="12"/>
  <c r="F36" i="9"/>
  <c r="D24" i="9"/>
  <c r="F23" i="9"/>
  <c r="D25" i="9"/>
  <c r="F37" i="12" l="1"/>
  <c r="F38" i="12"/>
  <c r="F24" i="9"/>
  <c r="F38" i="9"/>
  <c r="F37" i="9"/>
  <c r="F25" i="9"/>
  <c r="W28" i="6"/>
  <c r="W29" i="6"/>
  <c r="W30" i="6"/>
  <c r="W31" i="6"/>
  <c r="W32" i="6"/>
  <c r="W27" i="6"/>
  <c r="V28" i="6"/>
  <c r="V29" i="6"/>
  <c r="V30" i="6"/>
  <c r="V31" i="6"/>
  <c r="V32" i="6"/>
  <c r="V27" i="6"/>
  <c r="L27" i="6"/>
  <c r="L26" i="6"/>
  <c r="DR118" i="8"/>
  <c r="T98" i="8"/>
  <c r="BS98" i="8"/>
  <c r="T118" i="8"/>
  <c r="AK78" i="8"/>
  <c r="T78" i="8"/>
  <c r="CJ98" i="8"/>
  <c r="C118" i="8"/>
  <c r="DR78" i="8"/>
  <c r="AK98" i="8"/>
  <c r="DA118" i="8"/>
  <c r="BS118" i="8"/>
  <c r="BB118" i="8"/>
  <c r="CJ78" i="8"/>
  <c r="CJ118" i="8"/>
  <c r="BB78" i="8"/>
  <c r="C98" i="8"/>
  <c r="DR98" i="8"/>
  <c r="BB98" i="8"/>
  <c r="BS78" i="8"/>
  <c r="AK118" i="8"/>
  <c r="DA98" i="8"/>
  <c r="C138" i="8"/>
  <c r="DA78" i="8"/>
  <c r="F10" i="10"/>
  <c r="F9" i="10"/>
  <c r="G45" i="12" l="1"/>
  <c r="G32" i="9"/>
  <c r="G46" i="12"/>
  <c r="G33" i="9"/>
  <c r="G47" i="12"/>
  <c r="G34" i="9"/>
  <c r="G6" i="12"/>
  <c r="G38" i="9"/>
  <c r="G48" i="12"/>
  <c r="G35" i="9"/>
  <c r="G7" i="12"/>
  <c r="G49" i="12"/>
  <c r="G36" i="9"/>
  <c r="G8" i="12"/>
  <c r="G50" i="12"/>
  <c r="G37" i="9"/>
  <c r="G9" i="12"/>
  <c r="G41" i="9"/>
  <c r="G11" i="12"/>
  <c r="G43" i="9"/>
  <c r="G15" i="12"/>
  <c r="G47" i="9"/>
  <c r="G44" i="9"/>
  <c r="G12" i="12"/>
  <c r="G48" i="9"/>
  <c r="G16" i="12"/>
  <c r="G13" i="12"/>
  <c r="G45" i="9"/>
  <c r="G10" i="12"/>
  <c r="G42" i="9"/>
  <c r="G14" i="12"/>
  <c r="G46" i="9"/>
  <c r="G49" i="9"/>
  <c r="G17" i="12"/>
  <c r="G50" i="9"/>
  <c r="G18" i="12"/>
  <c r="G43" i="12"/>
  <c r="G44" i="12"/>
  <c r="G42" i="12"/>
  <c r="G41" i="12"/>
  <c r="G31" i="9"/>
  <c r="G30" i="9"/>
  <c r="G29" i="9"/>
  <c r="G28" i="9"/>
  <c r="I3" i="10"/>
  <c r="I2" i="10"/>
  <c r="H50" i="12"/>
  <c r="H11" i="12"/>
  <c r="H12" i="12"/>
  <c r="H35" i="9"/>
  <c r="AK38" i="8"/>
  <c r="H48" i="9"/>
  <c r="H44" i="9"/>
  <c r="H42" i="12"/>
  <c r="H36" i="9"/>
  <c r="H16" i="12"/>
  <c r="H45" i="9"/>
  <c r="H9" i="12"/>
  <c r="H28" i="9"/>
  <c r="H32" i="9"/>
  <c r="H7" i="12"/>
  <c r="H29" i="9"/>
  <c r="BB58" i="8"/>
  <c r="H38" i="9"/>
  <c r="H46" i="9"/>
  <c r="H49" i="9"/>
  <c r="H10" i="12"/>
  <c r="H50" i="9"/>
  <c r="H41" i="12"/>
  <c r="H47" i="12"/>
  <c r="H41" i="9"/>
  <c r="H33" i="9"/>
  <c r="H8" i="12"/>
  <c r="DA38" i="8"/>
  <c r="H49" i="12"/>
  <c r="H46" i="12"/>
  <c r="H42" i="9"/>
  <c r="H15" i="12"/>
  <c r="H43" i="12"/>
  <c r="H47" i="9"/>
  <c r="H37" i="9"/>
  <c r="H45" i="12"/>
  <c r="H13" i="12"/>
  <c r="H18" i="12"/>
  <c r="H34" i="9"/>
  <c r="H43" i="9"/>
  <c r="H31" i="9"/>
  <c r="H17" i="12"/>
  <c r="H44" i="12"/>
  <c r="H48" i="12"/>
  <c r="H14" i="12"/>
  <c r="H6" i="12"/>
  <c r="H30" i="9"/>
  <c r="G12" i="9" l="1"/>
  <c r="G25" i="12"/>
  <c r="G16" i="9"/>
  <c r="G29" i="12"/>
  <c r="G21" i="9"/>
  <c r="G34" i="12"/>
  <c r="B26" i="9"/>
  <c r="D26" i="9" s="1"/>
  <c r="B27" i="9"/>
  <c r="D27" i="9" s="1"/>
  <c r="B2" i="9"/>
  <c r="C2" i="9" s="1"/>
  <c r="E2" i="9" s="1"/>
  <c r="BS58" i="8"/>
  <c r="F6" i="10"/>
  <c r="F3" i="10"/>
  <c r="DR18" i="8"/>
  <c r="C58" i="8"/>
  <c r="F5" i="10"/>
  <c r="BB18" i="8"/>
  <c r="H34" i="12"/>
  <c r="DR38" i="8"/>
  <c r="DR58" i="8"/>
  <c r="F7" i="10"/>
  <c r="F4" i="10"/>
  <c r="BB38" i="8"/>
  <c r="AK58" i="8"/>
  <c r="H16" i="9"/>
  <c r="H21" i="9"/>
  <c r="Z22" i="1"/>
  <c r="T38" i="8"/>
  <c r="CJ38" i="8"/>
  <c r="DA58" i="8"/>
  <c r="F8" i="10"/>
  <c r="DA18" i="8"/>
  <c r="C38" i="8"/>
  <c r="H25" i="12"/>
  <c r="H29" i="12"/>
  <c r="C78" i="8"/>
  <c r="CJ18" i="8"/>
  <c r="BS18" i="8"/>
  <c r="T58" i="8"/>
  <c r="CJ58" i="8"/>
  <c r="AK18" i="8"/>
  <c r="BS38" i="8"/>
  <c r="H12" i="9"/>
  <c r="G3" i="12" l="1"/>
  <c r="G3" i="9"/>
  <c r="G4" i="12"/>
  <c r="G4" i="9"/>
  <c r="G5" i="12"/>
  <c r="G5" i="9"/>
  <c r="G19" i="12"/>
  <c r="G6" i="9"/>
  <c r="G20" i="12"/>
  <c r="G7" i="9"/>
  <c r="G21" i="12"/>
  <c r="G8" i="9"/>
  <c r="G22" i="12"/>
  <c r="G9" i="9"/>
  <c r="G10" i="9"/>
  <c r="G23" i="12"/>
  <c r="G11" i="9"/>
  <c r="G24" i="12"/>
  <c r="G26" i="12"/>
  <c r="G13" i="9"/>
  <c r="G27" i="12"/>
  <c r="G14" i="9"/>
  <c r="G28" i="12"/>
  <c r="G15" i="9"/>
  <c r="G17" i="9"/>
  <c r="G30" i="12"/>
  <c r="G18" i="9"/>
  <c r="G31" i="12"/>
  <c r="G32" i="12"/>
  <c r="G19" i="9"/>
  <c r="G20" i="9"/>
  <c r="G33" i="12"/>
  <c r="G22" i="9"/>
  <c r="G35" i="12"/>
  <c r="G36" i="12"/>
  <c r="G23" i="9"/>
  <c r="G37" i="12"/>
  <c r="G24" i="9"/>
  <c r="G38" i="12"/>
  <c r="G25" i="9"/>
  <c r="G39" i="12"/>
  <c r="F39" i="12"/>
  <c r="C26" i="9"/>
  <c r="E26" i="9" s="1"/>
  <c r="G39" i="9"/>
  <c r="F39" i="9"/>
  <c r="G26" i="9"/>
  <c r="F26" i="9"/>
  <c r="C27" i="9"/>
  <c r="E27" i="9" s="1"/>
  <c r="F27" i="9" s="1"/>
  <c r="D2" i="9"/>
  <c r="G9" i="6"/>
  <c r="G8" i="6"/>
  <c r="G7" i="6"/>
  <c r="H3" i="12"/>
  <c r="H11" i="9"/>
  <c r="H24" i="9"/>
  <c r="H5" i="12"/>
  <c r="H3" i="9"/>
  <c r="H21" i="12"/>
  <c r="H23" i="9"/>
  <c r="H4" i="9"/>
  <c r="H37" i="12"/>
  <c r="H22" i="12"/>
  <c r="H8" i="9"/>
  <c r="H20" i="12"/>
  <c r="H39" i="9"/>
  <c r="H6" i="9"/>
  <c r="H33" i="12"/>
  <c r="H24" i="12"/>
  <c r="H10" i="9"/>
  <c r="H18" i="9"/>
  <c r="H30" i="12"/>
  <c r="H19" i="12"/>
  <c r="H17" i="9"/>
  <c r="H32" i="12"/>
  <c r="H35" i="12"/>
  <c r="H31" i="12"/>
  <c r="H5" i="9"/>
  <c r="H39" i="12"/>
  <c r="H7" i="9"/>
  <c r="H28" i="12"/>
  <c r="H4" i="12"/>
  <c r="H26" i="9"/>
  <c r="H19" i="9"/>
  <c r="H20" i="9"/>
  <c r="H15" i="9"/>
  <c r="H14" i="9"/>
  <c r="H25" i="9"/>
  <c r="H36" i="12"/>
  <c r="H9" i="9"/>
  <c r="H23" i="12"/>
  <c r="H22" i="9"/>
  <c r="H27" i="12"/>
  <c r="H26" i="12"/>
  <c r="H38" i="12"/>
  <c r="H13" i="9"/>
  <c r="G2" i="12" l="1"/>
  <c r="F2" i="12"/>
  <c r="G40" i="12"/>
  <c r="F40" i="12"/>
  <c r="G27" i="9"/>
  <c r="F40" i="9"/>
  <c r="G40" i="9"/>
  <c r="G2" i="9"/>
  <c r="F2" i="9"/>
  <c r="H2" i="9"/>
  <c r="H40" i="9"/>
  <c r="H2" i="12"/>
  <c r="H40" i="12"/>
  <c r="H27" i="9"/>
</calcChain>
</file>

<file path=xl/sharedStrings.xml><?xml version="1.0" encoding="utf-8"?>
<sst xmlns="http://schemas.openxmlformats.org/spreadsheetml/2006/main" count="157" uniqueCount="110">
  <si>
    <t>0,0</t>
  </si>
  <si>
    <t>2,0</t>
  </si>
  <si>
    <t>4,0</t>
  </si>
  <si>
    <t>6,0</t>
  </si>
  <si>
    <t>8,0</t>
  </si>
  <si>
    <t>-2,0</t>
  </si>
  <si>
    <t>-4,0</t>
  </si>
  <si>
    <t>-6,0</t>
  </si>
  <si>
    <t>-8,0</t>
  </si>
  <si>
    <t>-4,8</t>
  </si>
  <si>
    <t>-2,8</t>
  </si>
  <si>
    <t>2,8</t>
  </si>
  <si>
    <t>4,8</t>
  </si>
  <si>
    <t>0,8</t>
  </si>
  <si>
    <t>-4,-8</t>
  </si>
  <si>
    <t>-2,-8</t>
  </si>
  <si>
    <t>0,-8</t>
  </si>
  <si>
    <t>2,-8</t>
  </si>
  <si>
    <t>4,-8</t>
  </si>
  <si>
    <t>1,2</t>
  </si>
  <si>
    <t>-5,6</t>
  </si>
  <si>
    <t>-3,6</t>
  </si>
  <si>
    <t>-1,6</t>
  </si>
  <si>
    <t>1,6</t>
  </si>
  <si>
    <t>3,6</t>
  </si>
  <si>
    <t>5,6</t>
  </si>
  <si>
    <t>-6,4</t>
  </si>
  <si>
    <t>-4,4</t>
  </si>
  <si>
    <t>-2,4</t>
  </si>
  <si>
    <t>0,4</t>
  </si>
  <si>
    <t>2,4</t>
  </si>
  <si>
    <t>4,4</t>
  </si>
  <si>
    <t>6,4</t>
  </si>
  <si>
    <t>-7,2</t>
  </si>
  <si>
    <t>-5,2</t>
  </si>
  <si>
    <t>-3,2</t>
  </si>
  <si>
    <t>-1,2</t>
  </si>
  <si>
    <t>3,2</t>
  </si>
  <si>
    <t>5,2</t>
  </si>
  <si>
    <t>7,2</t>
  </si>
  <si>
    <t>-7,-2</t>
  </si>
  <si>
    <t>-5,-2</t>
  </si>
  <si>
    <t>-3,-2</t>
  </si>
  <si>
    <t>-1,-2</t>
  </si>
  <si>
    <t>1,-2</t>
  </si>
  <si>
    <t>3,-2</t>
  </si>
  <si>
    <t>5,-2</t>
  </si>
  <si>
    <t>7,-2</t>
  </si>
  <si>
    <t>-6,-4</t>
  </si>
  <si>
    <t>-4,-4</t>
  </si>
  <si>
    <t>-2,-4</t>
  </si>
  <si>
    <t>0,-4</t>
  </si>
  <si>
    <t>2,-4</t>
  </si>
  <si>
    <t>4,-4</t>
  </si>
  <si>
    <t>6,-4</t>
  </si>
  <si>
    <t>-5,-6</t>
  </si>
  <si>
    <t>-3,-6</t>
  </si>
  <si>
    <t>-1,-6</t>
  </si>
  <si>
    <t>1,-6</t>
  </si>
  <si>
    <t>3,-6</t>
  </si>
  <si>
    <t>5,-6</t>
  </si>
  <si>
    <t>score</t>
    <phoneticPr fontId="1" type="noConversion"/>
  </si>
  <si>
    <t>block</t>
    <phoneticPr fontId="1" type="noConversion"/>
  </si>
  <si>
    <t>row</t>
    <phoneticPr fontId="1" type="noConversion"/>
  </si>
  <si>
    <t>score2</t>
    <phoneticPr fontId="1" type="noConversion"/>
  </si>
  <si>
    <t>245,162,11</t>
    <phoneticPr fontId="1" type="noConversion"/>
  </si>
  <si>
    <t>分数计算方法</t>
    <phoneticPr fontId="1" type="noConversion"/>
  </si>
  <si>
    <t>score1</t>
    <phoneticPr fontId="1" type="noConversion"/>
  </si>
  <si>
    <t>hexs</t>
    <phoneticPr fontId="1" type="noConversion"/>
  </si>
  <si>
    <t>score = block_count * 10 + (hexs + 1)*10*row_count</t>
    <phoneticPr fontId="1" type="noConversion"/>
  </si>
  <si>
    <t>后续制作</t>
    <phoneticPr fontId="1" type="noConversion"/>
  </si>
  <si>
    <t>genera random stage</t>
    <phoneticPr fontId="1" type="noConversion"/>
  </si>
  <si>
    <t>序号</t>
    <phoneticPr fontId="1" type="noConversion"/>
  </si>
  <si>
    <t>行id</t>
    <phoneticPr fontId="1" type="noConversion"/>
  </si>
  <si>
    <t>列id</t>
    <phoneticPr fontId="1" type="noConversion"/>
  </si>
  <si>
    <t>row</t>
    <phoneticPr fontId="1" type="noConversion"/>
  </si>
  <si>
    <t>col</t>
    <phoneticPr fontId="1" type="noConversion"/>
  </si>
  <si>
    <t>值</t>
    <phoneticPr fontId="1" type="noConversion"/>
  </si>
  <si>
    <t>lua字符串</t>
    <phoneticPr fontId="1" type="noConversion"/>
  </si>
  <si>
    <t>id</t>
    <phoneticPr fontId="1" type="noConversion"/>
  </si>
  <si>
    <t>R</t>
    <phoneticPr fontId="1" type="noConversion"/>
  </si>
  <si>
    <t>G</t>
    <phoneticPr fontId="1" type="noConversion"/>
  </si>
  <si>
    <t>B</t>
    <phoneticPr fontId="1" type="noConversion"/>
  </si>
  <si>
    <t>颜色值</t>
    <phoneticPr fontId="1" type="noConversion"/>
  </si>
  <si>
    <t>最小颜色id</t>
    <phoneticPr fontId="1" type="noConversion"/>
  </si>
  <si>
    <t>最大颜色id</t>
    <phoneticPr fontId="1" type="noConversion"/>
  </si>
  <si>
    <t>(1,-6,3);(1,6,1);(2,0,1);(2,8,1);(2,4,3);(2,-4,4);(4,-4,4);(4,8,4);(4,-8,4);(4,4,1);(5,-2,4);(5,6,3);(5,-6,3);(6,0,1);(6,4,4);(7,2,5);(7,-2,5);(8,0,4);(0,-8,2);(0,4,6);(0,-4,5);(-5,-2,6);(-5,-6,6);(-3,-2,4);(-3,2,1);(-3,-6,3);(-3,6,2);(-6,-4,6);(-6,4,2);(-7,-2,5);(-1,-2,6);(-1,6,6);(-1,-6,6);(-2,8,4);(-2,4,3);(-2,-4,2);(-4,8,2);(-4,-8,6);(-4,4,1);(-4,-4,3)</t>
    <phoneticPr fontId="1" type="noConversion"/>
  </si>
  <si>
    <t>(1,-2,5);(1,2,4);(1,-6,2);(1,6,1);(2,0,1);(2,8,3);(2,-8,1);(2,4,1);(2,-4,6);(3,-2,3);(3,2,1);(3,-6,1);(3,6,1);(4,-4,3);(4,8,4);(4,-8,4);(4,4,4);(4,0,4);(5,-2,1);(5,6,4);(5,-6,3);(5,2,3);(6,0,1);(6,-4,4);(0,0,5);(0,8,5);(0,-8,4);(0,4,2);(-5,-6,6);(-5,6,5);(-3,-2,6);(-6,4,6);(-7,2,4);(-7,-2,1);(-2,8,3);(-4,8,2);(-4,-8,6);(-4,4,2);(-4,-4,5);(-8,0,6)</t>
    <phoneticPr fontId="1" type="noConversion"/>
  </si>
  <si>
    <t>(1,-2,6);(1,6,6);(2,0,5);(2,8,1);(2,-8,1);(2,4,4);(2,-4,2);(4,8,1);(4,-8,1);(4,4,5);(4,0,5);(5,-2,1);(5,6,4);(5,-6,5);(5,2,1);(6,0,1);(6,-4,6);(6,4,4);(0,8,4);(0,-8,2);(0,4,5);(0,-4,4);(-5,-2,3);(-5,2,5);(-5,-6,1);(-5,6,4);(-3,-2,2);(-3,2,6);(-7,2,6);(-7,-2,2);(-1,-2,4);(-2,-8,4);(-2,4,3);(-2,-4,5);(-4,0,6);(-4,8,5);(-4,-8,6);(-4,4,5);(-4,-4,4);(-8,0,5)</t>
    <phoneticPr fontId="1" type="noConversion"/>
  </si>
  <si>
    <t>particle system of love 2d</t>
    <phoneticPr fontId="1" type="noConversion"/>
  </si>
  <si>
    <t>send it to github</t>
    <phoneticPr fontId="1" type="noConversion"/>
  </si>
  <si>
    <t>bomb</t>
    <phoneticPr fontId="1" type="noConversion"/>
  </si>
  <si>
    <t>ice</t>
    <phoneticPr fontId="1" type="noConversion"/>
  </si>
  <si>
    <t>wood</t>
    <phoneticPr fontId="1" type="noConversion"/>
  </si>
  <si>
    <t>design a world env for this game</t>
    <phoneticPr fontId="1" type="noConversion"/>
  </si>
  <si>
    <t>make different stage element</t>
    <phoneticPr fontId="1" type="noConversion"/>
  </si>
  <si>
    <t>make different stage type</t>
    <phoneticPr fontId="1" type="noConversion"/>
  </si>
  <si>
    <t>normal</t>
    <phoneticPr fontId="1" type="noConversion"/>
  </si>
  <si>
    <t>elite</t>
    <phoneticPr fontId="1" type="noConversion"/>
  </si>
  <si>
    <t>boss</t>
    <phoneticPr fontId="1" type="noConversion"/>
  </si>
  <si>
    <t>ok</t>
    <phoneticPr fontId="1" type="noConversion"/>
  </si>
  <si>
    <t>ok</t>
    <phoneticPr fontId="1" type="noConversion"/>
  </si>
  <si>
    <t>reconstruciton code</t>
    <phoneticPr fontId="1" type="noConversion"/>
  </si>
  <si>
    <t>step</t>
    <phoneticPr fontId="1" type="noConversion"/>
  </si>
  <si>
    <t>line up</t>
    <phoneticPr fontId="1" type="noConversion"/>
  </si>
  <si>
    <t>explotion</t>
    <phoneticPr fontId="1" type="noConversion"/>
  </si>
  <si>
    <t>crushed</t>
    <phoneticPr fontId="1" type="noConversion"/>
  </si>
  <si>
    <t>cx</t>
    <phoneticPr fontId="1" type="noConversion"/>
  </si>
  <si>
    <t>cy</t>
    <phoneticPr fontId="1" type="noConversion"/>
  </si>
  <si>
    <t>class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</si>
</sst>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22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6"/>
      <color theme="1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89B5"/>
        <bgColor indexed="64"/>
      </patternFill>
    </fill>
    <fill>
      <patternFill patternType="solid">
        <fgColor rgb="FFF5A20B"/>
        <bgColor indexed="64"/>
      </patternFill>
    </fill>
    <fill>
      <patternFill patternType="solid">
        <fgColor rgb="FF898CFF"/>
        <bgColor indexed="64"/>
      </patternFill>
    </fill>
    <fill>
      <patternFill patternType="solid">
        <fgColor rgb="FF71E096"/>
        <bgColor indexed="64"/>
      </patternFill>
    </fill>
    <fill>
      <patternFill patternType="solid">
        <fgColor rgb="FFCFF381"/>
        <bgColor indexed="64"/>
      </patternFill>
    </fill>
    <fill>
      <patternFill patternType="solid">
        <fgColor rgb="FFFFDC89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52525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2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11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0" xfId="0" applyFont="1" applyBorder="1">
      <alignment vertical="center"/>
    </xf>
    <xf numFmtId="0" fontId="0" fillId="0" borderId="11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Font="1" applyBorder="1">
      <alignment vertical="center"/>
    </xf>
    <xf numFmtId="0" fontId="0" fillId="0" borderId="14" xfId="0" applyFont="1" applyBorder="1">
      <alignment vertical="center"/>
    </xf>
    <xf numFmtId="0" fontId="0" fillId="0" borderId="15" xfId="0" applyFont="1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4" fillId="0" borderId="0" xfId="0" applyFont="1" applyBorder="1">
      <alignment vertical="center"/>
    </xf>
    <xf numFmtId="0" fontId="4" fillId="0" borderId="0" xfId="0" applyFont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9" xfId="0" applyFont="1" applyFill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Border="1">
      <alignment vertical="center"/>
    </xf>
    <xf numFmtId="0" fontId="0" fillId="0" borderId="12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>
      <alignment vertical="center"/>
    </xf>
    <xf numFmtId="0" fontId="0" fillId="10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8" xfId="0" applyFont="1" applyFill="1" applyBorder="1">
      <alignment vertical="center"/>
    </xf>
    <xf numFmtId="0" fontId="0" fillId="0" borderId="9" xfId="0" applyFont="1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>
      <alignment vertical="center"/>
    </xf>
    <xf numFmtId="0" fontId="4" fillId="0" borderId="9" xfId="0" applyFont="1" applyFill="1" applyBorder="1" applyAlignment="1">
      <alignment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3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FF381"/>
      <color rgb="FF71E096"/>
      <color rgb="FF898CFF"/>
      <color rgb="FFF5A20B"/>
      <color rgb="FFFF89B5"/>
      <color rgb="FFFFDC89"/>
      <color rgb="FF4D4D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108238</xdr:colOff>
      <xdr:row>5</xdr:row>
      <xdr:rowOff>0</xdr:rowOff>
    </xdr:from>
    <xdr:to>
      <xdr:col>3</xdr:col>
      <xdr:colOff>231857</xdr:colOff>
      <xdr:row>11</xdr:row>
      <xdr:rowOff>114129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0238" y="1039091"/>
          <a:ext cx="1647619" cy="1361038"/>
        </a:xfrm>
        <a:prstGeom prst="rect">
          <a:avLst/>
        </a:prstGeom>
      </xdr:spPr>
    </xdr:pic>
    <xdr:clientData/>
  </xdr:twoCellAnchor>
  <xdr:twoCellAnchor editAs="oneCell">
    <xdr:from>
      <xdr:col>7</xdr:col>
      <xdr:colOff>490971</xdr:colOff>
      <xdr:row>5</xdr:row>
      <xdr:rowOff>26844</xdr:rowOff>
    </xdr:from>
    <xdr:to>
      <xdr:col>9</xdr:col>
      <xdr:colOff>557447</xdr:colOff>
      <xdr:row>13</xdr:row>
      <xdr:rowOff>131397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24971" y="1065935"/>
          <a:ext cx="1590476" cy="1767098"/>
        </a:xfrm>
        <a:prstGeom prst="rect">
          <a:avLst/>
        </a:prstGeom>
      </xdr:spPr>
    </xdr:pic>
    <xdr:clientData/>
  </xdr:twoCellAnchor>
  <xdr:twoCellAnchor editAs="oneCell">
    <xdr:from>
      <xdr:col>13</xdr:col>
      <xdr:colOff>78797</xdr:colOff>
      <xdr:row>5</xdr:row>
      <xdr:rowOff>51955</xdr:rowOff>
    </xdr:from>
    <xdr:to>
      <xdr:col>16</xdr:col>
      <xdr:colOff>402321</xdr:colOff>
      <xdr:row>10</xdr:row>
      <xdr:rowOff>108966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84797" y="1091046"/>
          <a:ext cx="2609524" cy="1096102"/>
        </a:xfrm>
        <a:prstGeom prst="rect">
          <a:avLst/>
        </a:prstGeom>
      </xdr:spPr>
    </xdr:pic>
    <xdr:clientData/>
  </xdr:twoCellAnchor>
  <xdr:twoCellAnchor editAs="oneCell">
    <xdr:from>
      <xdr:col>4</xdr:col>
      <xdr:colOff>510886</xdr:colOff>
      <xdr:row>4</xdr:row>
      <xdr:rowOff>87458</xdr:rowOff>
    </xdr:from>
    <xdr:to>
      <xdr:col>6</xdr:col>
      <xdr:colOff>453553</xdr:colOff>
      <xdr:row>13</xdr:row>
      <xdr:rowOff>87223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58886" y="918731"/>
          <a:ext cx="1466667" cy="1870128"/>
        </a:xfrm>
        <a:prstGeom prst="rect">
          <a:avLst/>
        </a:prstGeom>
      </xdr:spPr>
    </xdr:pic>
    <xdr:clientData/>
  </xdr:twoCellAnchor>
  <xdr:twoCellAnchor editAs="oneCell">
    <xdr:from>
      <xdr:col>4</xdr:col>
      <xdr:colOff>196562</xdr:colOff>
      <xdr:row>42</xdr:row>
      <xdr:rowOff>49356</xdr:rowOff>
    </xdr:from>
    <xdr:to>
      <xdr:col>6</xdr:col>
      <xdr:colOff>672562</xdr:colOff>
      <xdr:row>48</xdr:row>
      <xdr:rowOff>163485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44562" y="8777720"/>
          <a:ext cx="2000000" cy="1361038"/>
        </a:xfrm>
        <a:prstGeom prst="rect">
          <a:avLst/>
        </a:prstGeom>
      </xdr:spPr>
    </xdr:pic>
    <xdr:clientData/>
  </xdr:twoCellAnchor>
  <xdr:twoCellAnchor editAs="oneCell">
    <xdr:from>
      <xdr:col>4</xdr:col>
      <xdr:colOff>240724</xdr:colOff>
      <xdr:row>22</xdr:row>
      <xdr:rowOff>20782</xdr:rowOff>
    </xdr:from>
    <xdr:to>
      <xdr:col>6</xdr:col>
      <xdr:colOff>383391</xdr:colOff>
      <xdr:row>30</xdr:row>
      <xdr:rowOff>199793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8724" y="4592782"/>
          <a:ext cx="1666667" cy="1841556"/>
        </a:xfrm>
        <a:prstGeom prst="rect">
          <a:avLst/>
        </a:prstGeom>
      </xdr:spPr>
    </xdr:pic>
    <xdr:clientData/>
  </xdr:twoCellAnchor>
  <xdr:twoCellAnchor editAs="oneCell">
    <xdr:from>
      <xdr:col>7</xdr:col>
      <xdr:colOff>270164</xdr:colOff>
      <xdr:row>23</xdr:row>
      <xdr:rowOff>0</xdr:rowOff>
    </xdr:from>
    <xdr:to>
      <xdr:col>9</xdr:col>
      <xdr:colOff>460450</xdr:colOff>
      <xdr:row>31</xdr:row>
      <xdr:rowOff>199790</xdr:rowOff>
    </xdr:to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4164" y="4779818"/>
          <a:ext cx="1714286" cy="1862336"/>
        </a:xfrm>
        <a:prstGeom prst="rect">
          <a:avLst/>
        </a:prstGeom>
      </xdr:spPr>
    </xdr:pic>
    <xdr:clientData/>
  </xdr:twoCellAnchor>
  <xdr:twoCellAnchor editAs="oneCell">
    <xdr:from>
      <xdr:col>1</xdr:col>
      <xdr:colOff>88323</xdr:colOff>
      <xdr:row>41</xdr:row>
      <xdr:rowOff>26843</xdr:rowOff>
    </xdr:from>
    <xdr:to>
      <xdr:col>3</xdr:col>
      <xdr:colOff>345275</xdr:colOff>
      <xdr:row>49</xdr:row>
      <xdr:rowOff>207585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0323" y="7716116"/>
          <a:ext cx="1780952" cy="1843288"/>
        </a:xfrm>
        <a:prstGeom prst="rect">
          <a:avLst/>
        </a:prstGeom>
      </xdr:spPr>
    </xdr:pic>
    <xdr:clientData/>
  </xdr:twoCellAnchor>
  <xdr:twoCellAnchor editAs="oneCell">
    <xdr:from>
      <xdr:col>0</xdr:col>
      <xdr:colOff>686666</xdr:colOff>
      <xdr:row>20</xdr:row>
      <xdr:rowOff>69273</xdr:rowOff>
    </xdr:from>
    <xdr:to>
      <xdr:col>3</xdr:col>
      <xdr:colOff>257809</xdr:colOff>
      <xdr:row>30</xdr:row>
      <xdr:rowOff>88059</xdr:rowOff>
    </xdr:to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6666" y="3394364"/>
          <a:ext cx="1857143" cy="2096967"/>
        </a:xfrm>
        <a:prstGeom prst="rect">
          <a:avLst/>
        </a:prstGeom>
      </xdr:spPr>
    </xdr:pic>
    <xdr:clientData/>
  </xdr:twoCellAnchor>
  <xdr:twoCellAnchor editAs="oneCell">
    <xdr:from>
      <xdr:col>7</xdr:col>
      <xdr:colOff>154998</xdr:colOff>
      <xdr:row>32</xdr:row>
      <xdr:rowOff>179240</xdr:rowOff>
    </xdr:from>
    <xdr:to>
      <xdr:col>9</xdr:col>
      <xdr:colOff>688141</xdr:colOff>
      <xdr:row>39</xdr:row>
      <xdr:rowOff>207628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88998" y="6829422"/>
          <a:ext cx="2057143" cy="1483115"/>
        </a:xfrm>
        <a:prstGeom prst="rect">
          <a:avLst/>
        </a:prstGeom>
      </xdr:spPr>
    </xdr:pic>
    <xdr:clientData/>
  </xdr:twoCellAnchor>
  <xdr:twoCellAnchor editAs="oneCell">
    <xdr:from>
      <xdr:col>7</xdr:col>
      <xdr:colOff>277959</xdr:colOff>
      <xdr:row>42</xdr:row>
      <xdr:rowOff>126423</xdr:rowOff>
    </xdr:from>
    <xdr:to>
      <xdr:col>9</xdr:col>
      <xdr:colOff>620626</xdr:colOff>
      <xdr:row>49</xdr:row>
      <xdr:rowOff>32734</xdr:rowOff>
    </xdr:to>
    <xdr:pic>
      <xdr:nvPicPr>
        <xdr:cNvPr id="14" name="图片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611959" y="8854787"/>
          <a:ext cx="1866667" cy="1361038"/>
        </a:xfrm>
        <a:prstGeom prst="rect">
          <a:avLst/>
        </a:prstGeom>
      </xdr:spPr>
    </xdr:pic>
    <xdr:clientData/>
  </xdr:twoCellAnchor>
  <xdr:twoCellAnchor editAs="oneCell">
    <xdr:from>
      <xdr:col>0</xdr:col>
      <xdr:colOff>631248</xdr:colOff>
      <xdr:row>31</xdr:row>
      <xdr:rowOff>17318</xdr:rowOff>
    </xdr:from>
    <xdr:to>
      <xdr:col>3</xdr:col>
      <xdr:colOff>50010</xdr:colOff>
      <xdr:row>39</xdr:row>
      <xdr:rowOff>177282</xdr:rowOff>
    </xdr:to>
    <xdr:pic>
      <xdr:nvPicPr>
        <xdr:cNvPr id="15" name="图片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31248" y="5628409"/>
          <a:ext cx="1704762" cy="182250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415635</xdr:colOff>
      <xdr:row>11</xdr:row>
      <xdr:rowOff>121226</xdr:rowOff>
    </xdr:from>
    <xdr:to>
      <xdr:col>15</xdr:col>
      <xdr:colOff>539254</xdr:colOff>
      <xdr:row>22</xdr:row>
      <xdr:rowOff>6655</xdr:rowOff>
    </xdr:to>
    <xdr:pic>
      <xdr:nvPicPr>
        <xdr:cNvPr id="16" name="图片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21635" y="2407226"/>
          <a:ext cx="1647619" cy="217142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415634</xdr:colOff>
      <xdr:row>22</xdr:row>
      <xdr:rowOff>17316</xdr:rowOff>
    </xdr:from>
    <xdr:to>
      <xdr:col>15</xdr:col>
      <xdr:colOff>539253</xdr:colOff>
      <xdr:row>32</xdr:row>
      <xdr:rowOff>177229</xdr:rowOff>
    </xdr:to>
    <xdr:pic>
      <xdr:nvPicPr>
        <xdr:cNvPr id="18" name="图片 17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21634" y="4589316"/>
          <a:ext cx="1647619" cy="2238095"/>
        </a:xfrm>
        <a:prstGeom prst="rect">
          <a:avLst/>
        </a:prstGeom>
      </xdr:spPr>
    </xdr:pic>
    <xdr:clientData/>
  </xdr:twoCellAnchor>
  <xdr:twoCellAnchor editAs="oneCell">
    <xdr:from>
      <xdr:col>17</xdr:col>
      <xdr:colOff>277091</xdr:colOff>
      <xdr:row>5</xdr:row>
      <xdr:rowOff>138544</xdr:rowOff>
    </xdr:from>
    <xdr:to>
      <xdr:col>18</xdr:col>
      <xdr:colOff>238901</xdr:colOff>
      <xdr:row>9</xdr:row>
      <xdr:rowOff>88223</xdr:rowOff>
    </xdr:to>
    <xdr:pic>
      <xdr:nvPicPr>
        <xdr:cNvPr id="19" name="图片 18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231091" y="1177635"/>
          <a:ext cx="723810" cy="7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744683</xdr:colOff>
      <xdr:row>13</xdr:row>
      <xdr:rowOff>173181</xdr:rowOff>
    </xdr:from>
    <xdr:to>
      <xdr:col>3</xdr:col>
      <xdr:colOff>277731</xdr:colOff>
      <xdr:row>20</xdr:row>
      <xdr:rowOff>23215</xdr:rowOff>
    </xdr:to>
    <xdr:pic>
      <xdr:nvPicPr>
        <xdr:cNvPr id="20" name="图片 1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4683" y="2043545"/>
          <a:ext cx="1819048" cy="1304762"/>
        </a:xfrm>
        <a:prstGeom prst="rect">
          <a:avLst/>
        </a:prstGeom>
      </xdr:spPr>
    </xdr:pic>
    <xdr:clientData/>
  </xdr:twoCellAnchor>
  <xdr:twoCellAnchor editAs="oneCell">
    <xdr:from>
      <xdr:col>7</xdr:col>
      <xdr:colOff>398319</xdr:colOff>
      <xdr:row>14</xdr:row>
      <xdr:rowOff>103909</xdr:rowOff>
    </xdr:from>
    <xdr:to>
      <xdr:col>9</xdr:col>
      <xdr:colOff>379081</xdr:colOff>
      <xdr:row>22</xdr:row>
      <xdr:rowOff>117554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732319" y="3013364"/>
          <a:ext cx="1504762" cy="1676190"/>
        </a:xfrm>
        <a:prstGeom prst="rect">
          <a:avLst/>
        </a:prstGeom>
      </xdr:spPr>
    </xdr:pic>
    <xdr:clientData/>
  </xdr:twoCellAnchor>
  <xdr:twoCellAnchor editAs="oneCell">
    <xdr:from>
      <xdr:col>4</xdr:col>
      <xdr:colOff>398319</xdr:colOff>
      <xdr:row>13</xdr:row>
      <xdr:rowOff>34635</xdr:rowOff>
    </xdr:from>
    <xdr:to>
      <xdr:col>6</xdr:col>
      <xdr:colOff>340986</xdr:colOff>
      <xdr:row>21</xdr:row>
      <xdr:rowOff>153041</xdr:rowOff>
    </xdr:to>
    <xdr:pic>
      <xdr:nvPicPr>
        <xdr:cNvPr id="22" name="图片 2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46319" y="2736271"/>
          <a:ext cx="1466667" cy="17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294410</xdr:colOff>
      <xdr:row>33</xdr:row>
      <xdr:rowOff>86591</xdr:rowOff>
    </xdr:from>
    <xdr:to>
      <xdr:col>6</xdr:col>
      <xdr:colOff>484696</xdr:colOff>
      <xdr:row>39</xdr:row>
      <xdr:rowOff>1587</xdr:rowOff>
    </xdr:to>
    <xdr:pic>
      <xdr:nvPicPr>
        <xdr:cNvPr id="23" name="图片 22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342410" y="6944591"/>
          <a:ext cx="1714286" cy="1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547254</xdr:colOff>
      <xdr:row>5</xdr:row>
      <xdr:rowOff>39830</xdr:rowOff>
    </xdr:from>
    <xdr:to>
      <xdr:col>12</xdr:col>
      <xdr:colOff>366111</xdr:colOff>
      <xdr:row>13</xdr:row>
      <xdr:rowOff>125335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167254" y="1078921"/>
          <a:ext cx="1342857" cy="1748050"/>
        </a:xfrm>
        <a:prstGeom prst="rect">
          <a:avLst/>
        </a:prstGeom>
      </xdr:spPr>
    </xdr:pic>
    <xdr:clientData/>
  </xdr:twoCellAnchor>
  <xdr:twoCellAnchor editAs="oneCell">
    <xdr:from>
      <xdr:col>10</xdr:col>
      <xdr:colOff>529070</xdr:colOff>
      <xdr:row>14</xdr:row>
      <xdr:rowOff>186169</xdr:rowOff>
    </xdr:from>
    <xdr:to>
      <xdr:col>12</xdr:col>
      <xdr:colOff>586022</xdr:colOff>
      <xdr:row>21</xdr:row>
      <xdr:rowOff>35337</xdr:rowOff>
    </xdr:to>
    <xdr:pic>
      <xdr:nvPicPr>
        <xdr:cNvPr id="25" name="图片 24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149070" y="3095624"/>
          <a:ext cx="1580952" cy="1303895"/>
        </a:xfrm>
        <a:prstGeom prst="rect">
          <a:avLst/>
        </a:prstGeom>
      </xdr:spPr>
    </xdr:pic>
    <xdr:clientData/>
  </xdr:twoCellAnchor>
  <xdr:twoCellAnchor editAs="oneCell">
    <xdr:from>
      <xdr:col>10</xdr:col>
      <xdr:colOff>502227</xdr:colOff>
      <xdr:row>23</xdr:row>
      <xdr:rowOff>173180</xdr:rowOff>
    </xdr:from>
    <xdr:to>
      <xdr:col>12</xdr:col>
      <xdr:colOff>673465</xdr:colOff>
      <xdr:row>30</xdr:row>
      <xdr:rowOff>13691</xdr:rowOff>
    </xdr:to>
    <xdr:pic>
      <xdr:nvPicPr>
        <xdr:cNvPr id="26" name="图片 25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122227" y="4952998"/>
          <a:ext cx="1695238" cy="1295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38"/>
  <sheetViews>
    <sheetView showGridLines="0" zoomScale="85" zoomScaleNormal="85" workbookViewId="0">
      <selection activeCell="E26" sqref="E26"/>
    </sheetView>
  </sheetViews>
  <sheetFormatPr defaultColWidth="2.76171875" defaultRowHeight="15" x14ac:dyDescent="0.5"/>
  <cols>
    <col min="1" max="28" width="2.76171875" style="1"/>
    <col min="29" max="29" width="3.52734375" style="1" bestFit="1" customWidth="1"/>
    <col min="30" max="31" width="2.76171875" style="1"/>
    <col min="32" max="32" width="2.76171875" style="1" customWidth="1"/>
    <col min="33" max="16384" width="2.76171875" style="1"/>
  </cols>
  <sheetData>
    <row r="1" spans="1:42" ht="15.4" thickBot="1" x14ac:dyDescent="0.55000000000000004"/>
    <row r="2" spans="1:42" x14ac:dyDescent="0.5">
      <c r="A2" s="12"/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0"/>
      <c r="W2" s="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10"/>
    </row>
    <row r="3" spans="1:42" ht="16.5" customHeight="1" x14ac:dyDescent="0.5">
      <c r="A3" s="12"/>
      <c r="B3" s="11"/>
      <c r="C3" s="12"/>
      <c r="D3" s="12"/>
      <c r="E3" s="12"/>
      <c r="F3" s="12"/>
      <c r="G3" s="56" t="s">
        <v>9</v>
      </c>
      <c r="H3" s="57"/>
      <c r="I3" s="56" t="s">
        <v>10</v>
      </c>
      <c r="J3" s="57"/>
      <c r="K3" s="56" t="s">
        <v>13</v>
      </c>
      <c r="L3" s="57"/>
      <c r="M3" s="56" t="s">
        <v>11</v>
      </c>
      <c r="N3" s="57"/>
      <c r="O3" s="56" t="s">
        <v>12</v>
      </c>
      <c r="P3" s="57"/>
      <c r="Q3" s="12"/>
      <c r="R3" s="12"/>
      <c r="S3" s="12"/>
      <c r="T3" s="12"/>
      <c r="U3" s="13"/>
      <c r="W3" s="11"/>
      <c r="X3" s="12"/>
      <c r="Y3" s="12"/>
      <c r="Z3" s="12"/>
      <c r="AA3" s="12"/>
      <c r="AB3" s="62"/>
      <c r="AC3" s="63"/>
      <c r="AD3" s="62"/>
      <c r="AE3" s="63"/>
      <c r="AF3" s="62"/>
      <c r="AG3" s="63"/>
      <c r="AH3" s="62"/>
      <c r="AI3" s="63"/>
      <c r="AJ3" s="62"/>
      <c r="AK3" s="63"/>
      <c r="AL3" s="12"/>
      <c r="AM3" s="12"/>
      <c r="AN3" s="12"/>
      <c r="AO3" s="12"/>
      <c r="AP3" s="13"/>
    </row>
    <row r="4" spans="1:42" ht="16.5" customHeight="1" x14ac:dyDescent="0.5">
      <c r="A4" s="12"/>
      <c r="B4" s="11"/>
      <c r="C4" s="12"/>
      <c r="D4" s="12"/>
      <c r="E4" s="12"/>
      <c r="F4" s="12"/>
      <c r="G4" s="58"/>
      <c r="H4" s="59"/>
      <c r="I4" s="58"/>
      <c r="J4" s="59"/>
      <c r="K4" s="58"/>
      <c r="L4" s="59"/>
      <c r="M4" s="58"/>
      <c r="N4" s="59"/>
      <c r="O4" s="58"/>
      <c r="P4" s="59"/>
      <c r="Q4" s="12"/>
      <c r="R4" s="12"/>
      <c r="S4" s="12"/>
      <c r="T4" s="12"/>
      <c r="U4" s="13"/>
      <c r="W4" s="11"/>
      <c r="X4" s="12"/>
      <c r="Y4" s="12"/>
      <c r="Z4" s="12"/>
      <c r="AA4" s="12"/>
      <c r="AB4" s="64"/>
      <c r="AC4" s="65"/>
      <c r="AD4" s="64"/>
      <c r="AE4" s="65"/>
      <c r="AF4" s="64"/>
      <c r="AG4" s="65"/>
      <c r="AH4" s="64"/>
      <c r="AI4" s="65"/>
      <c r="AJ4" s="64"/>
      <c r="AK4" s="65"/>
      <c r="AL4" s="12"/>
      <c r="AM4" s="12"/>
      <c r="AN4" s="12"/>
      <c r="AO4" s="12"/>
      <c r="AP4" s="13"/>
    </row>
    <row r="5" spans="1:42" ht="16.5" customHeight="1" x14ac:dyDescent="0.5">
      <c r="A5" s="12"/>
      <c r="B5" s="11"/>
      <c r="C5" s="12"/>
      <c r="D5" s="12"/>
      <c r="E5" s="12"/>
      <c r="F5" s="56" t="s">
        <v>20</v>
      </c>
      <c r="G5" s="57"/>
      <c r="H5" s="56" t="s">
        <v>21</v>
      </c>
      <c r="I5" s="57"/>
      <c r="J5" s="56" t="s">
        <v>22</v>
      </c>
      <c r="K5" s="57"/>
      <c r="L5" s="56" t="s">
        <v>23</v>
      </c>
      <c r="M5" s="57"/>
      <c r="N5" s="56" t="s">
        <v>24</v>
      </c>
      <c r="O5" s="57"/>
      <c r="P5" s="56" t="s">
        <v>25</v>
      </c>
      <c r="Q5" s="57"/>
      <c r="R5" s="12"/>
      <c r="S5" s="12"/>
      <c r="T5" s="12"/>
      <c r="U5" s="13"/>
      <c r="W5" s="11"/>
      <c r="X5" s="12"/>
      <c r="Y5" s="12"/>
      <c r="Z5" s="12"/>
      <c r="AA5" s="62"/>
      <c r="AB5" s="63"/>
      <c r="AC5" s="62"/>
      <c r="AD5" s="63"/>
      <c r="AE5" s="62"/>
      <c r="AF5" s="63"/>
      <c r="AG5" s="62"/>
      <c r="AH5" s="63"/>
      <c r="AI5" s="62"/>
      <c r="AJ5" s="63"/>
      <c r="AK5" s="62"/>
      <c r="AL5" s="63"/>
      <c r="AM5" s="12"/>
      <c r="AN5" s="12"/>
      <c r="AO5" s="12"/>
      <c r="AP5" s="13"/>
    </row>
    <row r="6" spans="1:42" ht="16.5" customHeight="1" x14ac:dyDescent="0.5">
      <c r="A6" s="12"/>
      <c r="B6" s="11"/>
      <c r="C6" s="12"/>
      <c r="D6" s="12"/>
      <c r="E6" s="12"/>
      <c r="F6" s="58"/>
      <c r="G6" s="59"/>
      <c r="H6" s="58"/>
      <c r="I6" s="59"/>
      <c r="J6" s="58"/>
      <c r="K6" s="59"/>
      <c r="L6" s="58"/>
      <c r="M6" s="59"/>
      <c r="N6" s="58"/>
      <c r="O6" s="59"/>
      <c r="P6" s="58"/>
      <c r="Q6" s="59"/>
      <c r="R6" s="12"/>
      <c r="S6" s="12"/>
      <c r="T6" s="12"/>
      <c r="U6" s="13"/>
      <c r="W6" s="11"/>
      <c r="X6" s="12"/>
      <c r="Y6" s="12"/>
      <c r="Z6" s="12"/>
      <c r="AA6" s="64"/>
      <c r="AB6" s="65"/>
      <c r="AC6" s="64"/>
      <c r="AD6" s="65"/>
      <c r="AE6" s="64"/>
      <c r="AF6" s="65"/>
      <c r="AG6" s="64"/>
      <c r="AH6" s="65"/>
      <c r="AI6" s="64"/>
      <c r="AJ6" s="65"/>
      <c r="AK6" s="64"/>
      <c r="AL6" s="65"/>
      <c r="AM6" s="12"/>
      <c r="AN6" s="12"/>
      <c r="AO6" s="12"/>
      <c r="AP6" s="13"/>
    </row>
    <row r="7" spans="1:42" ht="16.5" customHeight="1" x14ac:dyDescent="0.5">
      <c r="A7" s="12"/>
      <c r="B7" s="11"/>
      <c r="C7" s="12"/>
      <c r="D7" s="12"/>
      <c r="E7" s="56" t="s">
        <v>26</v>
      </c>
      <c r="F7" s="57"/>
      <c r="G7" s="56" t="s">
        <v>27</v>
      </c>
      <c r="H7" s="57"/>
      <c r="I7" s="56" t="s">
        <v>28</v>
      </c>
      <c r="J7" s="57"/>
      <c r="K7" s="56" t="s">
        <v>29</v>
      </c>
      <c r="L7" s="57"/>
      <c r="M7" s="56" t="s">
        <v>30</v>
      </c>
      <c r="N7" s="57"/>
      <c r="O7" s="56" t="s">
        <v>31</v>
      </c>
      <c r="P7" s="57"/>
      <c r="Q7" s="56" t="s">
        <v>32</v>
      </c>
      <c r="R7" s="57"/>
      <c r="S7" s="12"/>
      <c r="T7" s="12"/>
      <c r="U7" s="13"/>
      <c r="W7" s="11"/>
      <c r="X7" s="12"/>
      <c r="Y7" s="12"/>
      <c r="Z7" s="62"/>
      <c r="AA7" s="63"/>
      <c r="AB7" s="62"/>
      <c r="AC7" s="63"/>
      <c r="AD7" s="62"/>
      <c r="AE7" s="63"/>
      <c r="AF7" s="68">
        <v>4</v>
      </c>
      <c r="AG7" s="63"/>
      <c r="AH7" s="69">
        <v>3</v>
      </c>
      <c r="AI7" s="63"/>
      <c r="AJ7" s="62"/>
      <c r="AK7" s="63"/>
      <c r="AL7" s="62"/>
      <c r="AM7" s="63"/>
      <c r="AN7" s="12"/>
      <c r="AO7" s="12"/>
      <c r="AP7" s="13"/>
    </row>
    <row r="8" spans="1:42" ht="16.5" customHeight="1" x14ac:dyDescent="0.5">
      <c r="A8" s="12"/>
      <c r="B8" s="11"/>
      <c r="C8" s="12"/>
      <c r="D8" s="12"/>
      <c r="E8" s="58"/>
      <c r="F8" s="59"/>
      <c r="G8" s="58"/>
      <c r="H8" s="59"/>
      <c r="I8" s="58"/>
      <c r="J8" s="59"/>
      <c r="K8" s="58"/>
      <c r="L8" s="59"/>
      <c r="M8" s="58"/>
      <c r="N8" s="59"/>
      <c r="O8" s="58"/>
      <c r="P8" s="59"/>
      <c r="Q8" s="58"/>
      <c r="R8" s="59"/>
      <c r="S8" s="12"/>
      <c r="T8" s="12"/>
      <c r="U8" s="13"/>
      <c r="W8" s="11"/>
      <c r="X8" s="12"/>
      <c r="Y8" s="12"/>
      <c r="Z8" s="64"/>
      <c r="AA8" s="65"/>
      <c r="AB8" s="64"/>
      <c r="AC8" s="65"/>
      <c r="AD8" s="64"/>
      <c r="AE8" s="65"/>
      <c r="AF8" s="64"/>
      <c r="AG8" s="65"/>
      <c r="AH8" s="64"/>
      <c r="AI8" s="65"/>
      <c r="AJ8" s="64"/>
      <c r="AK8" s="65"/>
      <c r="AL8" s="64"/>
      <c r="AM8" s="65"/>
      <c r="AN8" s="12"/>
      <c r="AO8" s="12"/>
      <c r="AP8" s="13"/>
    </row>
    <row r="9" spans="1:42" ht="16.5" customHeight="1" x14ac:dyDescent="0.5">
      <c r="A9" s="12"/>
      <c r="B9" s="11"/>
      <c r="C9" s="12"/>
      <c r="D9" s="56" t="s">
        <v>33</v>
      </c>
      <c r="E9" s="57"/>
      <c r="F9" s="56" t="s">
        <v>34</v>
      </c>
      <c r="G9" s="57"/>
      <c r="H9" s="56" t="s">
        <v>35</v>
      </c>
      <c r="I9" s="57"/>
      <c r="J9" s="56" t="s">
        <v>36</v>
      </c>
      <c r="K9" s="57"/>
      <c r="L9" s="56" t="s">
        <v>19</v>
      </c>
      <c r="M9" s="57"/>
      <c r="N9" s="56" t="s">
        <v>37</v>
      </c>
      <c r="O9" s="57"/>
      <c r="P9" s="56" t="s">
        <v>38</v>
      </c>
      <c r="Q9" s="57"/>
      <c r="R9" s="56" t="s">
        <v>39</v>
      </c>
      <c r="S9" s="57"/>
      <c r="T9" s="12"/>
      <c r="U9" s="13"/>
      <c r="W9" s="11"/>
      <c r="X9" s="12"/>
      <c r="Y9" s="62"/>
      <c r="Z9" s="63"/>
      <c r="AA9" s="62"/>
      <c r="AB9" s="63"/>
      <c r="AC9" s="62"/>
      <c r="AD9" s="63"/>
      <c r="AE9" s="66">
        <v>1</v>
      </c>
      <c r="AF9" s="63"/>
      <c r="AG9" s="67">
        <v>2</v>
      </c>
      <c r="AH9" s="63"/>
      <c r="AI9" s="67">
        <v>2</v>
      </c>
      <c r="AJ9" s="63"/>
      <c r="AK9" s="62"/>
      <c r="AL9" s="63"/>
      <c r="AM9" s="62"/>
      <c r="AN9" s="63"/>
      <c r="AO9" s="12"/>
      <c r="AP9" s="13"/>
    </row>
    <row r="10" spans="1:42" ht="16.5" customHeight="1" x14ac:dyDescent="0.5">
      <c r="A10" s="12"/>
      <c r="B10" s="11"/>
      <c r="C10" s="12"/>
      <c r="D10" s="58"/>
      <c r="E10" s="59"/>
      <c r="F10" s="58"/>
      <c r="G10" s="59"/>
      <c r="H10" s="58"/>
      <c r="I10" s="59"/>
      <c r="J10" s="58"/>
      <c r="K10" s="59"/>
      <c r="L10" s="58"/>
      <c r="M10" s="59"/>
      <c r="N10" s="58"/>
      <c r="O10" s="59"/>
      <c r="P10" s="58"/>
      <c r="Q10" s="59"/>
      <c r="R10" s="58"/>
      <c r="S10" s="59"/>
      <c r="T10" s="12"/>
      <c r="U10" s="13"/>
      <c r="W10" s="11"/>
      <c r="X10" s="12"/>
      <c r="Y10" s="64"/>
      <c r="Z10" s="65"/>
      <c r="AA10" s="64"/>
      <c r="AB10" s="65"/>
      <c r="AC10" s="64"/>
      <c r="AD10" s="65"/>
      <c r="AE10" s="64"/>
      <c r="AF10" s="65"/>
      <c r="AG10" s="64"/>
      <c r="AH10" s="65"/>
      <c r="AI10" s="64"/>
      <c r="AJ10" s="65"/>
      <c r="AK10" s="64"/>
      <c r="AL10" s="65"/>
      <c r="AM10" s="64"/>
      <c r="AN10" s="65"/>
      <c r="AO10" s="12"/>
      <c r="AP10" s="13"/>
    </row>
    <row r="11" spans="1:42" ht="16.5" customHeight="1" x14ac:dyDescent="0.5">
      <c r="A11" s="12"/>
      <c r="B11" s="11"/>
      <c r="C11" s="56" t="s">
        <v>8</v>
      </c>
      <c r="D11" s="57"/>
      <c r="E11" s="56" t="s">
        <v>7</v>
      </c>
      <c r="F11" s="57"/>
      <c r="G11" s="56" t="s">
        <v>6</v>
      </c>
      <c r="H11" s="57"/>
      <c r="I11" s="56" t="s">
        <v>5</v>
      </c>
      <c r="J11" s="57"/>
      <c r="K11" s="56" t="s">
        <v>0</v>
      </c>
      <c r="L11" s="57"/>
      <c r="M11" s="56" t="s">
        <v>1</v>
      </c>
      <c r="N11" s="57"/>
      <c r="O11" s="56" t="s">
        <v>2</v>
      </c>
      <c r="P11" s="57"/>
      <c r="Q11" s="56" t="s">
        <v>3</v>
      </c>
      <c r="R11" s="57"/>
      <c r="S11" s="56" t="s">
        <v>4</v>
      </c>
      <c r="T11" s="57"/>
      <c r="U11" s="13"/>
      <c r="W11" s="11"/>
      <c r="X11" s="62"/>
      <c r="Y11" s="63"/>
      <c r="Z11" s="62"/>
      <c r="AA11" s="63"/>
      <c r="AB11" s="62"/>
      <c r="AC11" s="63"/>
      <c r="AD11" s="71">
        <v>6</v>
      </c>
      <c r="AE11" s="63"/>
      <c r="AF11" s="62"/>
      <c r="AG11" s="63"/>
      <c r="AH11" s="69">
        <v>3</v>
      </c>
      <c r="AI11" s="63"/>
      <c r="AJ11" s="66">
        <v>1</v>
      </c>
      <c r="AK11" s="63"/>
      <c r="AL11" s="62"/>
      <c r="AM11" s="63"/>
      <c r="AN11" s="62"/>
      <c r="AO11" s="63"/>
      <c r="AP11" s="13"/>
    </row>
    <row r="12" spans="1:42" ht="16.5" customHeight="1" x14ac:dyDescent="0.5">
      <c r="A12" s="12"/>
      <c r="B12" s="11"/>
      <c r="C12" s="58"/>
      <c r="D12" s="59"/>
      <c r="E12" s="58"/>
      <c r="F12" s="59"/>
      <c r="G12" s="58"/>
      <c r="H12" s="59"/>
      <c r="I12" s="58"/>
      <c r="J12" s="59"/>
      <c r="K12" s="58"/>
      <c r="L12" s="59"/>
      <c r="M12" s="58"/>
      <c r="N12" s="59"/>
      <c r="O12" s="58"/>
      <c r="P12" s="59"/>
      <c r="Q12" s="58"/>
      <c r="R12" s="59"/>
      <c r="S12" s="58"/>
      <c r="T12" s="59"/>
      <c r="U12" s="13"/>
      <c r="W12" s="11"/>
      <c r="X12" s="64"/>
      <c r="Y12" s="65"/>
      <c r="Z12" s="64"/>
      <c r="AA12" s="65"/>
      <c r="AB12" s="64"/>
      <c r="AC12" s="65"/>
      <c r="AD12" s="64"/>
      <c r="AE12" s="65"/>
      <c r="AF12" s="64"/>
      <c r="AG12" s="65"/>
      <c r="AH12" s="64"/>
      <c r="AI12" s="65"/>
      <c r="AJ12" s="64"/>
      <c r="AK12" s="65"/>
      <c r="AL12" s="64"/>
      <c r="AM12" s="65"/>
      <c r="AN12" s="64"/>
      <c r="AO12" s="65"/>
      <c r="AP12" s="13"/>
    </row>
    <row r="13" spans="1:42" ht="16.5" customHeight="1" x14ac:dyDescent="0.5">
      <c r="A13" s="12"/>
      <c r="B13" s="11"/>
      <c r="C13" s="12"/>
      <c r="D13" s="56" t="s">
        <v>40</v>
      </c>
      <c r="E13" s="57"/>
      <c r="F13" s="56" t="s">
        <v>41</v>
      </c>
      <c r="G13" s="57"/>
      <c r="H13" s="56" t="s">
        <v>42</v>
      </c>
      <c r="I13" s="57"/>
      <c r="J13" s="56" t="s">
        <v>43</v>
      </c>
      <c r="K13" s="57"/>
      <c r="L13" s="56" t="s">
        <v>44</v>
      </c>
      <c r="M13" s="57"/>
      <c r="N13" s="56" t="s">
        <v>45</v>
      </c>
      <c r="O13" s="57"/>
      <c r="P13" s="56" t="s">
        <v>46</v>
      </c>
      <c r="Q13" s="57"/>
      <c r="R13" s="56" t="s">
        <v>47</v>
      </c>
      <c r="S13" s="57"/>
      <c r="T13" s="12"/>
      <c r="U13" s="13"/>
      <c r="W13" s="11"/>
      <c r="X13" s="4"/>
      <c r="Y13" s="62"/>
      <c r="Z13" s="63"/>
      <c r="AA13" s="62"/>
      <c r="AB13" s="63"/>
      <c r="AC13" s="62"/>
      <c r="AD13" s="63"/>
      <c r="AE13" s="70">
        <v>5</v>
      </c>
      <c r="AF13" s="63"/>
      <c r="AG13" s="68">
        <v>4</v>
      </c>
      <c r="AH13" s="63"/>
      <c r="AI13" s="62"/>
      <c r="AJ13" s="63"/>
      <c r="AK13" s="62"/>
      <c r="AL13" s="63"/>
      <c r="AM13" s="62"/>
      <c r="AN13" s="63"/>
      <c r="AO13" s="4"/>
      <c r="AP13" s="13"/>
    </row>
    <row r="14" spans="1:42" ht="16.5" customHeight="1" x14ac:dyDescent="0.5">
      <c r="A14" s="12"/>
      <c r="B14" s="11"/>
      <c r="C14" s="12"/>
      <c r="D14" s="58"/>
      <c r="E14" s="59"/>
      <c r="F14" s="58"/>
      <c r="G14" s="59"/>
      <c r="H14" s="58"/>
      <c r="I14" s="59"/>
      <c r="J14" s="58"/>
      <c r="K14" s="59"/>
      <c r="L14" s="58"/>
      <c r="M14" s="59"/>
      <c r="N14" s="58"/>
      <c r="O14" s="59"/>
      <c r="P14" s="58"/>
      <c r="Q14" s="59"/>
      <c r="R14" s="58"/>
      <c r="S14" s="59"/>
      <c r="T14" s="12"/>
      <c r="U14" s="13"/>
      <c r="W14" s="11"/>
      <c r="X14" s="4"/>
      <c r="Y14" s="64"/>
      <c r="Z14" s="65"/>
      <c r="AA14" s="64"/>
      <c r="AB14" s="65"/>
      <c r="AC14" s="64"/>
      <c r="AD14" s="65"/>
      <c r="AE14" s="64"/>
      <c r="AF14" s="65"/>
      <c r="AG14" s="64"/>
      <c r="AH14" s="65"/>
      <c r="AI14" s="64"/>
      <c r="AJ14" s="65"/>
      <c r="AK14" s="64"/>
      <c r="AL14" s="65"/>
      <c r="AM14" s="64"/>
      <c r="AN14" s="65"/>
      <c r="AO14" s="4"/>
      <c r="AP14" s="13"/>
    </row>
    <row r="15" spans="1:42" ht="16.5" customHeight="1" x14ac:dyDescent="0.5">
      <c r="A15" s="12"/>
      <c r="B15" s="11"/>
      <c r="C15" s="12"/>
      <c r="D15" s="12"/>
      <c r="E15" s="56" t="s">
        <v>48</v>
      </c>
      <c r="F15" s="57"/>
      <c r="G15" s="56" t="s">
        <v>49</v>
      </c>
      <c r="H15" s="57"/>
      <c r="I15" s="56" t="s">
        <v>50</v>
      </c>
      <c r="J15" s="57"/>
      <c r="K15" s="56" t="s">
        <v>51</v>
      </c>
      <c r="L15" s="57"/>
      <c r="M15" s="56" t="s">
        <v>52</v>
      </c>
      <c r="N15" s="57"/>
      <c r="O15" s="56" t="s">
        <v>53</v>
      </c>
      <c r="P15" s="57"/>
      <c r="Q15" s="60" t="s">
        <v>54</v>
      </c>
      <c r="R15" s="60"/>
      <c r="S15" s="12"/>
      <c r="T15" s="12"/>
      <c r="U15" s="13"/>
      <c r="W15" s="11"/>
      <c r="X15" s="4"/>
      <c r="Y15" s="4"/>
      <c r="Z15" s="62"/>
      <c r="AA15" s="63"/>
      <c r="AB15" s="62"/>
      <c r="AC15" s="63"/>
      <c r="AD15" s="62"/>
      <c r="AE15" s="63"/>
      <c r="AF15" s="62"/>
      <c r="AG15" s="63"/>
      <c r="AH15" s="62"/>
      <c r="AI15" s="63"/>
      <c r="AJ15" s="62"/>
      <c r="AK15" s="63"/>
      <c r="AL15" s="62"/>
      <c r="AM15" s="63"/>
      <c r="AN15" s="4"/>
      <c r="AO15" s="4"/>
      <c r="AP15" s="13"/>
    </row>
    <row r="16" spans="1:42" ht="16.5" customHeight="1" x14ac:dyDescent="0.5">
      <c r="A16" s="12"/>
      <c r="B16" s="11"/>
      <c r="C16" s="12"/>
      <c r="D16" s="12"/>
      <c r="E16" s="58"/>
      <c r="F16" s="59"/>
      <c r="G16" s="58"/>
      <c r="H16" s="59"/>
      <c r="I16" s="58"/>
      <c r="J16" s="59"/>
      <c r="K16" s="58"/>
      <c r="L16" s="59"/>
      <c r="M16" s="58"/>
      <c r="N16" s="59"/>
      <c r="O16" s="58"/>
      <c r="P16" s="59"/>
      <c r="Q16" s="60"/>
      <c r="R16" s="60"/>
      <c r="S16" s="61"/>
      <c r="T16" s="61"/>
      <c r="U16" s="13"/>
      <c r="W16" s="11"/>
      <c r="X16" s="4"/>
      <c r="Y16" s="4"/>
      <c r="Z16" s="64"/>
      <c r="AA16" s="65"/>
      <c r="AB16" s="64"/>
      <c r="AC16" s="65"/>
      <c r="AD16" s="64"/>
      <c r="AE16" s="65"/>
      <c r="AF16" s="64"/>
      <c r="AG16" s="65"/>
      <c r="AH16" s="64"/>
      <c r="AI16" s="65"/>
      <c r="AJ16" s="64"/>
      <c r="AK16" s="65"/>
      <c r="AL16" s="64"/>
      <c r="AM16" s="65"/>
      <c r="AN16" s="4"/>
      <c r="AO16" s="4"/>
      <c r="AP16" s="13"/>
    </row>
    <row r="17" spans="1:42" ht="16.5" customHeight="1" x14ac:dyDescent="0.5">
      <c r="A17" s="12"/>
      <c r="B17" s="11"/>
      <c r="C17" s="12"/>
      <c r="D17" s="12"/>
      <c r="E17" s="12"/>
      <c r="F17" s="56" t="s">
        <v>55</v>
      </c>
      <c r="G17" s="57"/>
      <c r="H17" s="56" t="s">
        <v>56</v>
      </c>
      <c r="I17" s="57"/>
      <c r="J17" s="56" t="s">
        <v>57</v>
      </c>
      <c r="K17" s="57"/>
      <c r="L17" s="56" t="s">
        <v>58</v>
      </c>
      <c r="M17" s="57"/>
      <c r="N17" s="56" t="s">
        <v>59</v>
      </c>
      <c r="O17" s="57"/>
      <c r="P17" s="56" t="s">
        <v>60</v>
      </c>
      <c r="Q17" s="57"/>
      <c r="R17" s="12"/>
      <c r="S17" s="61"/>
      <c r="T17" s="61"/>
      <c r="U17" s="13"/>
      <c r="W17" s="11"/>
      <c r="X17" s="12"/>
      <c r="Y17" s="12"/>
      <c r="Z17" s="12"/>
      <c r="AA17" s="62"/>
      <c r="AB17" s="63"/>
      <c r="AC17" s="62"/>
      <c r="AD17" s="63"/>
      <c r="AE17" s="62"/>
      <c r="AF17" s="63"/>
      <c r="AG17" s="62"/>
      <c r="AH17" s="63"/>
      <c r="AI17" s="62"/>
      <c r="AJ17" s="63"/>
      <c r="AK17" s="62"/>
      <c r="AL17" s="63"/>
      <c r="AM17" s="12"/>
      <c r="AN17" s="12"/>
      <c r="AO17" s="12"/>
      <c r="AP17" s="13"/>
    </row>
    <row r="18" spans="1:42" ht="16.5" customHeight="1" x14ac:dyDescent="0.5">
      <c r="A18" s="12"/>
      <c r="B18" s="11"/>
      <c r="C18" s="12"/>
      <c r="D18" s="12"/>
      <c r="E18" s="12"/>
      <c r="F18" s="58"/>
      <c r="G18" s="59"/>
      <c r="H18" s="58"/>
      <c r="I18" s="59"/>
      <c r="J18" s="58"/>
      <c r="K18" s="59"/>
      <c r="L18" s="58"/>
      <c r="M18" s="59"/>
      <c r="N18" s="58"/>
      <c r="O18" s="59"/>
      <c r="P18" s="58"/>
      <c r="Q18" s="59"/>
      <c r="R18" s="12"/>
      <c r="S18" s="12"/>
      <c r="T18" s="12"/>
      <c r="U18" s="13"/>
      <c r="W18" s="11"/>
      <c r="X18" s="12"/>
      <c r="Y18" s="12"/>
      <c r="Z18" s="12"/>
      <c r="AA18" s="64"/>
      <c r="AB18" s="65"/>
      <c r="AC18" s="64"/>
      <c r="AD18" s="65"/>
      <c r="AE18" s="64"/>
      <c r="AF18" s="65"/>
      <c r="AG18" s="64"/>
      <c r="AH18" s="65"/>
      <c r="AI18" s="64"/>
      <c r="AJ18" s="65"/>
      <c r="AK18" s="64"/>
      <c r="AL18" s="65"/>
      <c r="AM18" s="12"/>
      <c r="AN18" s="12"/>
      <c r="AO18" s="12"/>
      <c r="AP18" s="13"/>
    </row>
    <row r="19" spans="1:42" ht="16.5" customHeight="1" x14ac:dyDescent="0.5">
      <c r="A19" s="12"/>
      <c r="B19" s="11"/>
      <c r="C19" s="12"/>
      <c r="D19" s="12"/>
      <c r="E19" s="12"/>
      <c r="F19" s="12"/>
      <c r="G19" s="56" t="s">
        <v>14</v>
      </c>
      <c r="H19" s="57"/>
      <c r="I19" s="56" t="s">
        <v>15</v>
      </c>
      <c r="J19" s="57"/>
      <c r="K19" s="56" t="s">
        <v>16</v>
      </c>
      <c r="L19" s="57"/>
      <c r="M19" s="56" t="s">
        <v>17</v>
      </c>
      <c r="N19" s="57"/>
      <c r="O19" s="56" t="s">
        <v>18</v>
      </c>
      <c r="P19" s="57"/>
      <c r="Q19" s="12"/>
      <c r="R19" s="12"/>
      <c r="S19" s="12"/>
      <c r="T19" s="12"/>
      <c r="U19" s="13"/>
      <c r="W19" s="11"/>
      <c r="X19" s="12"/>
      <c r="Y19" s="12"/>
      <c r="Z19" s="12"/>
      <c r="AA19" s="12"/>
      <c r="AB19" s="62"/>
      <c r="AC19" s="63"/>
      <c r="AD19" s="62"/>
      <c r="AE19" s="63"/>
      <c r="AF19" s="62"/>
      <c r="AG19" s="63"/>
      <c r="AH19" s="62"/>
      <c r="AI19" s="63"/>
      <c r="AJ19" s="62"/>
      <c r="AK19" s="63"/>
      <c r="AL19" s="12"/>
      <c r="AM19" s="12"/>
      <c r="AN19" s="12"/>
      <c r="AO19" s="12"/>
      <c r="AP19" s="13"/>
    </row>
    <row r="20" spans="1:42" ht="16.5" customHeight="1" x14ac:dyDescent="0.5">
      <c r="A20" s="12"/>
      <c r="B20" s="11"/>
      <c r="C20" s="12"/>
      <c r="D20" s="12"/>
      <c r="E20" s="12"/>
      <c r="F20" s="12"/>
      <c r="G20" s="58"/>
      <c r="H20" s="59"/>
      <c r="I20" s="58"/>
      <c r="J20" s="59"/>
      <c r="K20" s="58"/>
      <c r="L20" s="59"/>
      <c r="M20" s="58"/>
      <c r="N20" s="59"/>
      <c r="O20" s="58"/>
      <c r="P20" s="59"/>
      <c r="Q20" s="12"/>
      <c r="R20" s="12"/>
      <c r="S20" s="12"/>
      <c r="T20" s="12"/>
      <c r="U20" s="13"/>
      <c r="W20" s="11"/>
      <c r="X20" s="12"/>
      <c r="Y20" s="12"/>
      <c r="Z20" s="12"/>
      <c r="AA20" s="12"/>
      <c r="AB20" s="64"/>
      <c r="AC20" s="65"/>
      <c r="AD20" s="64"/>
      <c r="AE20" s="65"/>
      <c r="AF20" s="64"/>
      <c r="AG20" s="65"/>
      <c r="AH20" s="64"/>
      <c r="AI20" s="65"/>
      <c r="AJ20" s="64"/>
      <c r="AK20" s="65"/>
      <c r="AL20" s="12"/>
      <c r="AM20" s="12"/>
      <c r="AN20" s="12"/>
      <c r="AO20" s="12"/>
      <c r="AP20" s="13"/>
    </row>
    <row r="21" spans="1:42" ht="15.4" thickBot="1" x14ac:dyDescent="0.55000000000000004">
      <c r="A21" s="12"/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</row>
    <row r="22" spans="1:42" x14ac:dyDescent="0.5">
      <c r="A22" s="12"/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3"/>
      <c r="W22" s="11"/>
      <c r="X22" s="32"/>
      <c r="Y22" s="32"/>
      <c r="Z22" s="74" t="str">
        <f ca="1">GetHexStr(X3:AO20)</f>
        <v>(0,-4,4,);(2,-4,3,);(-1,-2,1,);(1,-2,2,);(3,-2,2,);(-2,0,6,);(2,0,3,);(4,0,1,);(-1,2,5,);(1,2,4,);</v>
      </c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6"/>
      <c r="AN22" s="32"/>
      <c r="AO22" s="32"/>
      <c r="AP22" s="13"/>
    </row>
    <row r="23" spans="1:42" ht="15.4" thickBot="1" x14ac:dyDescent="0.55000000000000004">
      <c r="A23" s="12"/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3"/>
      <c r="W23" s="11"/>
      <c r="X23" s="32"/>
      <c r="Y23" s="32"/>
      <c r="Z23" s="77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9"/>
      <c r="AN23" s="32"/>
      <c r="AO23" s="32"/>
      <c r="AP23" s="13"/>
    </row>
    <row r="24" spans="1:42" ht="15.4" thickBot="1" x14ac:dyDescent="0.55000000000000004">
      <c r="A24" s="12"/>
      <c r="B24" s="11"/>
      <c r="C24" s="12"/>
      <c r="D24" s="12"/>
      <c r="E24" s="12"/>
      <c r="F24" s="2"/>
      <c r="G24" s="2"/>
      <c r="H24" s="60" t="s">
        <v>21</v>
      </c>
      <c r="I24" s="60"/>
      <c r="J24" s="72" t="s">
        <v>22</v>
      </c>
      <c r="K24" s="57"/>
      <c r="L24" s="56" t="s">
        <v>23</v>
      </c>
      <c r="M24" s="72"/>
      <c r="N24" s="60" t="s">
        <v>24</v>
      </c>
      <c r="O24" s="60"/>
      <c r="P24" s="2"/>
      <c r="Q24" s="2"/>
      <c r="R24" s="12"/>
      <c r="S24" s="12"/>
      <c r="T24" s="12"/>
      <c r="U24" s="13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</row>
    <row r="25" spans="1:42" x14ac:dyDescent="0.5">
      <c r="A25" s="12"/>
      <c r="B25" s="11"/>
      <c r="C25" s="12"/>
      <c r="D25" s="12"/>
      <c r="E25" s="12"/>
      <c r="F25" s="2"/>
      <c r="G25" s="2"/>
      <c r="H25" s="60"/>
      <c r="I25" s="60"/>
      <c r="J25" s="73"/>
      <c r="K25" s="59"/>
      <c r="L25" s="58"/>
      <c r="M25" s="73"/>
      <c r="N25" s="60"/>
      <c r="O25" s="60"/>
      <c r="P25" s="2"/>
      <c r="Q25" s="2"/>
      <c r="R25" s="12"/>
      <c r="S25" s="12"/>
      <c r="T25" s="12"/>
      <c r="U25" s="13"/>
    </row>
    <row r="26" spans="1:42" x14ac:dyDescent="0.5">
      <c r="A26" s="12"/>
      <c r="B26" s="11"/>
      <c r="C26" s="12"/>
      <c r="D26" s="12"/>
      <c r="E26" s="2"/>
      <c r="F26" s="2"/>
      <c r="G26" s="60" t="s">
        <v>27</v>
      </c>
      <c r="H26" s="60"/>
      <c r="I26" s="61" t="s">
        <v>28</v>
      </c>
      <c r="J26" s="57"/>
      <c r="K26" s="56" t="s">
        <v>29</v>
      </c>
      <c r="L26" s="57"/>
      <c r="M26" s="56" t="s">
        <v>30</v>
      </c>
      <c r="N26" s="61"/>
      <c r="O26" s="60" t="s">
        <v>31</v>
      </c>
      <c r="P26" s="60"/>
      <c r="Q26" s="2"/>
      <c r="R26" s="2"/>
      <c r="S26" s="12"/>
      <c r="T26" s="12"/>
      <c r="U26" s="13"/>
    </row>
    <row r="27" spans="1:42" x14ac:dyDescent="0.5">
      <c r="A27" s="12"/>
      <c r="B27" s="11"/>
      <c r="C27" s="12"/>
      <c r="D27" s="12"/>
      <c r="E27" s="2"/>
      <c r="F27" s="2"/>
      <c r="G27" s="60"/>
      <c r="H27" s="60"/>
      <c r="I27" s="73"/>
      <c r="J27" s="59"/>
      <c r="K27" s="58"/>
      <c r="L27" s="59"/>
      <c r="M27" s="58"/>
      <c r="N27" s="73"/>
      <c r="O27" s="60"/>
      <c r="P27" s="60"/>
      <c r="Q27" s="2"/>
      <c r="R27" s="2"/>
      <c r="S27" s="12"/>
      <c r="T27" s="12"/>
      <c r="U27" s="13"/>
    </row>
    <row r="28" spans="1:42" x14ac:dyDescent="0.5">
      <c r="A28" s="12"/>
      <c r="B28" s="11"/>
      <c r="C28" s="12"/>
      <c r="D28" s="12"/>
      <c r="E28" s="2"/>
      <c r="F28" s="60" t="s">
        <v>34</v>
      </c>
      <c r="G28" s="60"/>
      <c r="H28" s="61" t="s">
        <v>35</v>
      </c>
      <c r="I28" s="57"/>
      <c r="J28" s="56" t="s">
        <v>36</v>
      </c>
      <c r="K28" s="57"/>
      <c r="L28" s="56" t="s">
        <v>19</v>
      </c>
      <c r="M28" s="57"/>
      <c r="N28" s="56" t="s">
        <v>37</v>
      </c>
      <c r="O28" s="61"/>
      <c r="P28" s="60" t="s">
        <v>38</v>
      </c>
      <c r="Q28" s="60"/>
      <c r="R28" s="2"/>
      <c r="S28" s="12"/>
      <c r="T28" s="12"/>
      <c r="U28" s="13"/>
    </row>
    <row r="29" spans="1:42" x14ac:dyDescent="0.5">
      <c r="A29" s="12"/>
      <c r="B29" s="11"/>
      <c r="C29" s="12"/>
      <c r="D29" s="12"/>
      <c r="E29" s="2"/>
      <c r="F29" s="60"/>
      <c r="G29" s="60"/>
      <c r="H29" s="73"/>
      <c r="I29" s="59"/>
      <c r="J29" s="58"/>
      <c r="K29" s="59"/>
      <c r="L29" s="58"/>
      <c r="M29" s="59"/>
      <c r="N29" s="58"/>
      <c r="O29" s="73"/>
      <c r="P29" s="60"/>
      <c r="Q29" s="60"/>
      <c r="R29" s="2"/>
      <c r="S29" s="12"/>
      <c r="T29" s="12"/>
      <c r="U29" s="13"/>
    </row>
    <row r="30" spans="1:42" x14ac:dyDescent="0.5">
      <c r="A30" s="12"/>
      <c r="B30" s="11"/>
      <c r="C30" s="12"/>
      <c r="D30" s="12"/>
      <c r="E30" s="60" t="s">
        <v>7</v>
      </c>
      <c r="F30" s="60"/>
      <c r="G30" s="61" t="s">
        <v>6</v>
      </c>
      <c r="H30" s="57"/>
      <c r="I30" s="56" t="s">
        <v>5</v>
      </c>
      <c r="J30" s="57"/>
      <c r="K30" s="56" t="s">
        <v>0</v>
      </c>
      <c r="L30" s="57"/>
      <c r="M30" s="56" t="s">
        <v>1</v>
      </c>
      <c r="N30" s="57"/>
      <c r="O30" s="56" t="s">
        <v>2</v>
      </c>
      <c r="P30" s="61"/>
      <c r="Q30" s="60" t="s">
        <v>3</v>
      </c>
      <c r="R30" s="60"/>
      <c r="S30" s="12"/>
      <c r="T30" s="12"/>
      <c r="U30" s="13"/>
    </row>
    <row r="31" spans="1:42" x14ac:dyDescent="0.5">
      <c r="A31" s="12"/>
      <c r="B31" s="11"/>
      <c r="C31" s="12"/>
      <c r="D31" s="12"/>
      <c r="E31" s="60"/>
      <c r="F31" s="60"/>
      <c r="G31" s="61"/>
      <c r="H31" s="59"/>
      <c r="I31" s="58"/>
      <c r="J31" s="59"/>
      <c r="K31" s="58"/>
      <c r="L31" s="59"/>
      <c r="M31" s="58"/>
      <c r="N31" s="59"/>
      <c r="O31" s="58"/>
      <c r="P31" s="61"/>
      <c r="Q31" s="60"/>
      <c r="R31" s="60"/>
      <c r="S31" s="12"/>
      <c r="T31" s="12"/>
      <c r="U31" s="13"/>
    </row>
    <row r="32" spans="1:42" x14ac:dyDescent="0.5">
      <c r="A32" s="12"/>
      <c r="B32" s="11"/>
      <c r="C32" s="12"/>
      <c r="D32" s="12"/>
      <c r="E32" s="2"/>
      <c r="F32" s="60" t="s">
        <v>41</v>
      </c>
      <c r="G32" s="60"/>
      <c r="H32" s="72" t="s">
        <v>42</v>
      </c>
      <c r="I32" s="57"/>
      <c r="J32" s="56" t="s">
        <v>43</v>
      </c>
      <c r="K32" s="57"/>
      <c r="L32" s="56" t="s">
        <v>44</v>
      </c>
      <c r="M32" s="57"/>
      <c r="N32" s="56" t="s">
        <v>45</v>
      </c>
      <c r="O32" s="72"/>
      <c r="P32" s="60" t="s">
        <v>46</v>
      </c>
      <c r="Q32" s="60"/>
      <c r="R32" s="2"/>
      <c r="S32" s="12"/>
      <c r="T32" s="12"/>
      <c r="U32" s="13"/>
    </row>
    <row r="33" spans="1:21" x14ac:dyDescent="0.5">
      <c r="A33" s="12"/>
      <c r="B33" s="11"/>
      <c r="C33" s="12"/>
      <c r="D33" s="12"/>
      <c r="E33" s="2"/>
      <c r="F33" s="60"/>
      <c r="G33" s="60"/>
      <c r="H33" s="61"/>
      <c r="I33" s="59"/>
      <c r="J33" s="58"/>
      <c r="K33" s="59"/>
      <c r="L33" s="58"/>
      <c r="M33" s="59"/>
      <c r="N33" s="58"/>
      <c r="O33" s="61"/>
      <c r="P33" s="60"/>
      <c r="Q33" s="60"/>
      <c r="R33" s="2"/>
      <c r="S33" s="12"/>
      <c r="T33" s="12"/>
      <c r="U33" s="13"/>
    </row>
    <row r="34" spans="1:21" x14ac:dyDescent="0.5">
      <c r="A34" s="12"/>
      <c r="B34" s="11"/>
      <c r="C34" s="12"/>
      <c r="D34" s="12"/>
      <c r="E34" s="2"/>
      <c r="F34" s="2"/>
      <c r="G34" s="60" t="s">
        <v>49</v>
      </c>
      <c r="H34" s="60"/>
      <c r="I34" s="72" t="s">
        <v>50</v>
      </c>
      <c r="J34" s="57"/>
      <c r="K34" s="56" t="s">
        <v>51</v>
      </c>
      <c r="L34" s="57"/>
      <c r="M34" s="56" t="s">
        <v>52</v>
      </c>
      <c r="N34" s="72"/>
      <c r="O34" s="60" t="s">
        <v>53</v>
      </c>
      <c r="P34" s="60"/>
      <c r="Q34" s="2"/>
      <c r="R34" s="2"/>
      <c r="S34" s="12"/>
      <c r="T34" s="12"/>
      <c r="U34" s="13"/>
    </row>
    <row r="35" spans="1:21" x14ac:dyDescent="0.5">
      <c r="A35" s="12"/>
      <c r="B35" s="11"/>
      <c r="C35" s="12"/>
      <c r="D35" s="12"/>
      <c r="E35" s="2"/>
      <c r="F35" s="2"/>
      <c r="G35" s="60"/>
      <c r="H35" s="60"/>
      <c r="I35" s="61"/>
      <c r="J35" s="59"/>
      <c r="K35" s="58"/>
      <c r="L35" s="59"/>
      <c r="M35" s="58"/>
      <c r="N35" s="61"/>
      <c r="O35" s="60"/>
      <c r="P35" s="60"/>
      <c r="Q35" s="2"/>
      <c r="R35" s="2"/>
      <c r="S35" s="12"/>
      <c r="T35" s="12"/>
      <c r="U35" s="13"/>
    </row>
    <row r="36" spans="1:21" x14ac:dyDescent="0.5">
      <c r="A36" s="12"/>
      <c r="B36" s="11"/>
      <c r="C36" s="12"/>
      <c r="D36" s="12"/>
      <c r="E36" s="12"/>
      <c r="F36" s="2"/>
      <c r="G36" s="2"/>
      <c r="H36" s="60" t="s">
        <v>56</v>
      </c>
      <c r="I36" s="60"/>
      <c r="J36" s="72" t="s">
        <v>57</v>
      </c>
      <c r="K36" s="57"/>
      <c r="L36" s="56" t="s">
        <v>58</v>
      </c>
      <c r="M36" s="72"/>
      <c r="N36" s="60" t="s">
        <v>59</v>
      </c>
      <c r="O36" s="60"/>
      <c r="P36" s="2"/>
      <c r="Q36" s="2"/>
      <c r="R36" s="12"/>
      <c r="S36" s="12"/>
      <c r="T36" s="12"/>
      <c r="U36" s="13"/>
    </row>
    <row r="37" spans="1:21" x14ac:dyDescent="0.5">
      <c r="A37" s="12"/>
      <c r="B37" s="11"/>
      <c r="C37" s="12"/>
      <c r="D37" s="12"/>
      <c r="E37" s="12"/>
      <c r="F37" s="2"/>
      <c r="G37" s="2"/>
      <c r="H37" s="60"/>
      <c r="I37" s="60"/>
      <c r="J37" s="73"/>
      <c r="K37" s="59"/>
      <c r="L37" s="58"/>
      <c r="M37" s="73"/>
      <c r="N37" s="60"/>
      <c r="O37" s="60"/>
      <c r="P37" s="2"/>
      <c r="Q37" s="2"/>
      <c r="R37" s="12"/>
      <c r="S37" s="12"/>
      <c r="T37" s="12"/>
      <c r="U37" s="13"/>
    </row>
    <row r="38" spans="1:21" ht="15.4" thickBot="1" x14ac:dyDescent="0.55000000000000004">
      <c r="A38" s="12"/>
      <c r="B38" s="14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6"/>
    </row>
  </sheetData>
  <mergeCells count="161">
    <mergeCell ref="Z22:AM23"/>
    <mergeCell ref="H24:I25"/>
    <mergeCell ref="J24:K25"/>
    <mergeCell ref="L24:M25"/>
    <mergeCell ref="N24:O25"/>
    <mergeCell ref="F28:G29"/>
    <mergeCell ref="H28:I29"/>
    <mergeCell ref="J28:K29"/>
    <mergeCell ref="L28:M29"/>
    <mergeCell ref="N28:O29"/>
    <mergeCell ref="P28:Q29"/>
    <mergeCell ref="G26:H27"/>
    <mergeCell ref="I26:J27"/>
    <mergeCell ref="K26:L27"/>
    <mergeCell ref="M26:N27"/>
    <mergeCell ref="O26:P27"/>
    <mergeCell ref="P32:Q33"/>
    <mergeCell ref="F32:G33"/>
    <mergeCell ref="H32:I33"/>
    <mergeCell ref="J32:K33"/>
    <mergeCell ref="L32:M33"/>
    <mergeCell ref="N32:O33"/>
    <mergeCell ref="M30:N31"/>
    <mergeCell ref="O30:P31"/>
    <mergeCell ref="Q30:R31"/>
    <mergeCell ref="E30:F31"/>
    <mergeCell ref="G30:H31"/>
    <mergeCell ref="I30:J31"/>
    <mergeCell ref="K30:L31"/>
    <mergeCell ref="H36:I37"/>
    <mergeCell ref="J36:K37"/>
    <mergeCell ref="L36:M37"/>
    <mergeCell ref="N36:O37"/>
    <mergeCell ref="G34:H35"/>
    <mergeCell ref="I34:J35"/>
    <mergeCell ref="K34:L35"/>
    <mergeCell ref="M34:N35"/>
    <mergeCell ref="O34:P35"/>
    <mergeCell ref="AN11:AO12"/>
    <mergeCell ref="Y13:Z14"/>
    <mergeCell ref="AA13:AB14"/>
    <mergeCell ref="AC13:AD14"/>
    <mergeCell ref="AE13:AF14"/>
    <mergeCell ref="AG13:AH14"/>
    <mergeCell ref="AI13:AJ14"/>
    <mergeCell ref="AK13:AL14"/>
    <mergeCell ref="X11:Y12"/>
    <mergeCell ref="Z11:AA12"/>
    <mergeCell ref="AB11:AC12"/>
    <mergeCell ref="AD11:AE12"/>
    <mergeCell ref="AF11:AG12"/>
    <mergeCell ref="AH11:AI12"/>
    <mergeCell ref="AM13:AN14"/>
    <mergeCell ref="Y9:Z10"/>
    <mergeCell ref="AA9:AB10"/>
    <mergeCell ref="AC9:AD10"/>
    <mergeCell ref="AE9:AF10"/>
    <mergeCell ref="AG9:AH10"/>
    <mergeCell ref="AI9:AJ10"/>
    <mergeCell ref="AK9:AL10"/>
    <mergeCell ref="AM9:AN10"/>
    <mergeCell ref="Z7:AA8"/>
    <mergeCell ref="AB7:AC8"/>
    <mergeCell ref="AD7:AE8"/>
    <mergeCell ref="AF7:AG8"/>
    <mergeCell ref="AH7:AI8"/>
    <mergeCell ref="AJ7:AK8"/>
    <mergeCell ref="AB19:AC20"/>
    <mergeCell ref="AD19:AE20"/>
    <mergeCell ref="AA5:AB6"/>
    <mergeCell ref="AC5:AD6"/>
    <mergeCell ref="AE5:AF6"/>
    <mergeCell ref="AG5:AH6"/>
    <mergeCell ref="AI5:AJ6"/>
    <mergeCell ref="AK5:AL6"/>
    <mergeCell ref="AB3:AC4"/>
    <mergeCell ref="AD3:AE4"/>
    <mergeCell ref="AF3:AG4"/>
    <mergeCell ref="AH3:AI4"/>
    <mergeCell ref="AJ3:AK4"/>
    <mergeCell ref="AL7:AM8"/>
    <mergeCell ref="AJ11:AK12"/>
    <mergeCell ref="AL11:AM12"/>
    <mergeCell ref="AF19:AG20"/>
    <mergeCell ref="AH19:AI20"/>
    <mergeCell ref="AJ19:AK20"/>
    <mergeCell ref="Z15:AA16"/>
    <mergeCell ref="AB15:AC16"/>
    <mergeCell ref="AD15:AE16"/>
    <mergeCell ref="AF15:AG16"/>
    <mergeCell ref="AH15:AI16"/>
    <mergeCell ref="M15:N16"/>
    <mergeCell ref="O15:P16"/>
    <mergeCell ref="S16:T17"/>
    <mergeCell ref="AA17:AB18"/>
    <mergeCell ref="AC17:AD18"/>
    <mergeCell ref="AE17:AF18"/>
    <mergeCell ref="AG17:AH18"/>
    <mergeCell ref="AI17:AJ18"/>
    <mergeCell ref="AK17:AL18"/>
    <mergeCell ref="AJ15:AK16"/>
    <mergeCell ref="AL15:AM16"/>
    <mergeCell ref="D13:E14"/>
    <mergeCell ref="F13:G14"/>
    <mergeCell ref="H13:I14"/>
    <mergeCell ref="J13:K14"/>
    <mergeCell ref="L13:M14"/>
    <mergeCell ref="N13:O14"/>
    <mergeCell ref="P13:Q14"/>
    <mergeCell ref="R13:S14"/>
    <mergeCell ref="G19:H20"/>
    <mergeCell ref="I19:J20"/>
    <mergeCell ref="K19:L20"/>
    <mergeCell ref="M19:N20"/>
    <mergeCell ref="O19:P20"/>
    <mergeCell ref="Q15:R16"/>
    <mergeCell ref="F17:G18"/>
    <mergeCell ref="H17:I18"/>
    <mergeCell ref="J17:K18"/>
    <mergeCell ref="L17:M18"/>
    <mergeCell ref="N17:O18"/>
    <mergeCell ref="P17:Q18"/>
    <mergeCell ref="E15:F16"/>
    <mergeCell ref="G15:H16"/>
    <mergeCell ref="I15:J16"/>
    <mergeCell ref="K15:L16"/>
    <mergeCell ref="P9:Q10"/>
    <mergeCell ref="R9:S10"/>
    <mergeCell ref="C11:D12"/>
    <mergeCell ref="E11:F12"/>
    <mergeCell ref="G11:H12"/>
    <mergeCell ref="I11:J12"/>
    <mergeCell ref="K11:L12"/>
    <mergeCell ref="M11:N12"/>
    <mergeCell ref="O11:P12"/>
    <mergeCell ref="Q11:R12"/>
    <mergeCell ref="D9:E10"/>
    <mergeCell ref="F9:G10"/>
    <mergeCell ref="H9:I10"/>
    <mergeCell ref="J9:K10"/>
    <mergeCell ref="L9:M10"/>
    <mergeCell ref="N9:O10"/>
    <mergeCell ref="S11:T12"/>
    <mergeCell ref="P5:Q6"/>
    <mergeCell ref="E7:F8"/>
    <mergeCell ref="G7:H8"/>
    <mergeCell ref="I7:J8"/>
    <mergeCell ref="K7:L8"/>
    <mergeCell ref="M7:N8"/>
    <mergeCell ref="O7:P8"/>
    <mergeCell ref="Q7:R8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78"/>
  <sheetViews>
    <sheetView zoomScale="55" zoomScaleNormal="55" workbookViewId="0">
      <selection activeCell="DE21" sqref="DE21"/>
    </sheetView>
  </sheetViews>
  <sheetFormatPr defaultColWidth="2.64453125" defaultRowHeight="18" customHeight="1" x14ac:dyDescent="0.5"/>
  <sheetData>
    <row r="1" spans="1:84" ht="18" customHeight="1" thickBot="1" x14ac:dyDescent="0.55000000000000004">
      <c r="A1" s="18"/>
    </row>
    <row r="2" spans="1:84" ht="18" customHeight="1" x14ac:dyDescent="0.5">
      <c r="A2" s="18"/>
      <c r="B2" s="49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10"/>
      <c r="W2" s="49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10"/>
      <c r="AR2" s="49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10"/>
      <c r="BM2" s="49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10"/>
    </row>
    <row r="3" spans="1:84" ht="18" customHeight="1" x14ac:dyDescent="0.5">
      <c r="A3" s="18"/>
      <c r="B3" s="3"/>
      <c r="C3" s="4"/>
      <c r="D3" s="4"/>
      <c r="E3" s="4"/>
      <c r="F3" s="4"/>
      <c r="G3" s="71">
        <v>6</v>
      </c>
      <c r="H3" s="63"/>
      <c r="I3" s="62"/>
      <c r="J3" s="63"/>
      <c r="K3" s="68">
        <v>4</v>
      </c>
      <c r="L3" s="63"/>
      <c r="M3" s="66">
        <v>1</v>
      </c>
      <c r="N3" s="63"/>
      <c r="O3" s="68">
        <v>4</v>
      </c>
      <c r="P3" s="63"/>
      <c r="Q3" s="4"/>
      <c r="R3" s="4"/>
      <c r="S3" s="4"/>
      <c r="T3" s="4"/>
      <c r="U3" s="13"/>
      <c r="W3" s="3"/>
      <c r="X3" s="4"/>
      <c r="Y3" s="4"/>
      <c r="Z3" s="4"/>
      <c r="AA3" s="4"/>
      <c r="AB3" s="71">
        <v>6</v>
      </c>
      <c r="AC3" s="63"/>
      <c r="AD3" s="62"/>
      <c r="AE3" s="63"/>
      <c r="AF3" s="67">
        <v>2</v>
      </c>
      <c r="AG3" s="63"/>
      <c r="AH3" s="62"/>
      <c r="AI3" s="63"/>
      <c r="AJ3" s="68">
        <v>4</v>
      </c>
      <c r="AK3" s="63"/>
      <c r="AL3" s="4"/>
      <c r="AM3" s="4"/>
      <c r="AN3" s="4"/>
      <c r="AO3" s="4"/>
      <c r="AP3" s="13"/>
      <c r="AR3" s="3"/>
      <c r="AS3" s="4"/>
      <c r="AT3" s="4"/>
      <c r="AU3" s="4"/>
      <c r="AV3" s="4"/>
      <c r="AW3" s="71">
        <v>6</v>
      </c>
      <c r="AX3" s="63"/>
      <c r="AY3" s="62"/>
      <c r="AZ3" s="63"/>
      <c r="BA3" s="68">
        <v>4</v>
      </c>
      <c r="BB3" s="63"/>
      <c r="BC3" s="66">
        <v>1</v>
      </c>
      <c r="BD3" s="63"/>
      <c r="BE3" s="68">
        <v>4</v>
      </c>
      <c r="BF3" s="63"/>
      <c r="BG3" s="4"/>
      <c r="BH3" s="4"/>
      <c r="BI3" s="4"/>
      <c r="BJ3" s="4"/>
      <c r="BK3" s="13"/>
      <c r="BM3" s="3"/>
      <c r="BN3" s="4"/>
      <c r="BO3" s="4"/>
      <c r="BP3" s="4"/>
      <c r="BQ3" s="4"/>
      <c r="BR3" s="71">
        <v>6</v>
      </c>
      <c r="BS3" s="63"/>
      <c r="BT3" s="68">
        <v>4</v>
      </c>
      <c r="BU3" s="63"/>
      <c r="BV3" s="67">
        <v>2</v>
      </c>
      <c r="BW3" s="63"/>
      <c r="BX3" s="66">
        <v>1</v>
      </c>
      <c r="BY3" s="63"/>
      <c r="BZ3" s="66">
        <v>1</v>
      </c>
      <c r="CA3" s="63"/>
      <c r="CB3" s="4"/>
      <c r="CC3" s="4"/>
      <c r="CD3" s="4"/>
      <c r="CE3" s="4"/>
      <c r="CF3" s="13"/>
    </row>
    <row r="4" spans="1:84" ht="18" customHeight="1" x14ac:dyDescent="0.5">
      <c r="A4" s="18"/>
      <c r="B4" s="3"/>
      <c r="C4" s="4"/>
      <c r="D4" s="4"/>
      <c r="E4" s="4"/>
      <c r="F4" s="4"/>
      <c r="G4" s="64"/>
      <c r="H4" s="65"/>
      <c r="I4" s="64"/>
      <c r="J4" s="65"/>
      <c r="K4" s="64"/>
      <c r="L4" s="65"/>
      <c r="M4" s="64"/>
      <c r="N4" s="65"/>
      <c r="O4" s="64"/>
      <c r="P4" s="65"/>
      <c r="Q4" s="4"/>
      <c r="R4" s="4"/>
      <c r="S4" s="4"/>
      <c r="T4" s="4"/>
      <c r="U4" s="13"/>
      <c r="W4" s="3"/>
      <c r="X4" s="4"/>
      <c r="Y4" s="4"/>
      <c r="Z4" s="4"/>
      <c r="AA4" s="4"/>
      <c r="AB4" s="64"/>
      <c r="AC4" s="65"/>
      <c r="AD4" s="64"/>
      <c r="AE4" s="65"/>
      <c r="AF4" s="64"/>
      <c r="AG4" s="65"/>
      <c r="AH4" s="64"/>
      <c r="AI4" s="65"/>
      <c r="AJ4" s="64"/>
      <c r="AK4" s="65"/>
      <c r="AL4" s="4"/>
      <c r="AM4" s="4"/>
      <c r="AN4" s="4"/>
      <c r="AO4" s="4"/>
      <c r="AP4" s="13"/>
      <c r="AR4" s="3"/>
      <c r="AS4" s="4"/>
      <c r="AT4" s="4"/>
      <c r="AU4" s="4"/>
      <c r="AV4" s="4"/>
      <c r="AW4" s="64"/>
      <c r="AX4" s="65"/>
      <c r="AY4" s="64"/>
      <c r="AZ4" s="65"/>
      <c r="BA4" s="64"/>
      <c r="BB4" s="65"/>
      <c r="BC4" s="64"/>
      <c r="BD4" s="65"/>
      <c r="BE4" s="64"/>
      <c r="BF4" s="65"/>
      <c r="BG4" s="4"/>
      <c r="BH4" s="4"/>
      <c r="BI4" s="4"/>
      <c r="BJ4" s="4"/>
      <c r="BK4" s="13"/>
      <c r="BM4" s="3"/>
      <c r="BN4" s="4"/>
      <c r="BO4" s="4"/>
      <c r="BP4" s="4"/>
      <c r="BQ4" s="4"/>
      <c r="BR4" s="64"/>
      <c r="BS4" s="65"/>
      <c r="BT4" s="64"/>
      <c r="BU4" s="65"/>
      <c r="BV4" s="64"/>
      <c r="BW4" s="65"/>
      <c r="BX4" s="64"/>
      <c r="BY4" s="65"/>
      <c r="BZ4" s="64"/>
      <c r="CA4" s="65"/>
      <c r="CB4" s="4"/>
      <c r="CC4" s="4"/>
      <c r="CD4" s="4"/>
      <c r="CE4" s="4"/>
      <c r="CF4" s="13"/>
    </row>
    <row r="5" spans="1:84" ht="18" customHeight="1" x14ac:dyDescent="0.5">
      <c r="A5" s="18"/>
      <c r="B5" s="3"/>
      <c r="C5" s="4"/>
      <c r="D5" s="4"/>
      <c r="E5" s="4"/>
      <c r="F5" s="71">
        <v>6</v>
      </c>
      <c r="G5" s="63"/>
      <c r="H5" s="62"/>
      <c r="I5" s="63"/>
      <c r="J5" s="62"/>
      <c r="K5" s="63"/>
      <c r="L5" s="67">
        <v>2</v>
      </c>
      <c r="M5" s="63"/>
      <c r="N5" s="66">
        <v>1</v>
      </c>
      <c r="O5" s="63"/>
      <c r="P5" s="69">
        <v>3</v>
      </c>
      <c r="Q5" s="63"/>
      <c r="R5" s="4"/>
      <c r="S5" s="4"/>
      <c r="T5" s="4"/>
      <c r="U5" s="13"/>
      <c r="W5" s="3"/>
      <c r="X5" s="4"/>
      <c r="Y5" s="4"/>
      <c r="Z5" s="4"/>
      <c r="AA5" s="71">
        <v>6</v>
      </c>
      <c r="AB5" s="63"/>
      <c r="AC5" s="69">
        <v>3</v>
      </c>
      <c r="AD5" s="63"/>
      <c r="AE5" s="71">
        <v>6</v>
      </c>
      <c r="AF5" s="63"/>
      <c r="AG5" s="69">
        <v>3</v>
      </c>
      <c r="AH5" s="63"/>
      <c r="AI5" s="62"/>
      <c r="AJ5" s="63"/>
      <c r="AK5" s="69">
        <v>3</v>
      </c>
      <c r="AL5" s="63"/>
      <c r="AM5" s="4"/>
      <c r="AN5" s="4"/>
      <c r="AO5" s="4"/>
      <c r="AP5" s="13"/>
      <c r="AR5" s="3"/>
      <c r="AS5" s="4"/>
      <c r="AT5" s="4"/>
      <c r="AU5" s="4"/>
      <c r="AV5" s="71">
        <v>6</v>
      </c>
      <c r="AW5" s="63"/>
      <c r="AX5" s="62"/>
      <c r="AY5" s="63"/>
      <c r="AZ5" s="62"/>
      <c r="BA5" s="63"/>
      <c r="BB5" s="67">
        <v>2</v>
      </c>
      <c r="BC5" s="63"/>
      <c r="BD5" s="66">
        <v>1</v>
      </c>
      <c r="BE5" s="63"/>
      <c r="BF5" s="69">
        <v>3</v>
      </c>
      <c r="BG5" s="63"/>
      <c r="BH5" s="4"/>
      <c r="BI5" s="4"/>
      <c r="BJ5" s="4"/>
      <c r="BK5" s="13"/>
      <c r="BM5" s="3"/>
      <c r="BN5" s="4"/>
      <c r="BO5" s="4"/>
      <c r="BP5" s="4"/>
      <c r="BQ5" s="66">
        <v>1</v>
      </c>
      <c r="BR5" s="63"/>
      <c r="BS5" s="62"/>
      <c r="BT5" s="63"/>
      <c r="BU5" s="62"/>
      <c r="BV5" s="63"/>
      <c r="BW5" s="62"/>
      <c r="BX5" s="63"/>
      <c r="BY5" s="62"/>
      <c r="BZ5" s="63"/>
      <c r="CA5" s="70">
        <v>5</v>
      </c>
      <c r="CB5" s="63"/>
      <c r="CC5" s="4"/>
      <c r="CD5" s="4"/>
      <c r="CE5" s="4"/>
      <c r="CF5" s="13"/>
    </row>
    <row r="6" spans="1:84" ht="18" customHeight="1" x14ac:dyDescent="0.5">
      <c r="A6" s="18"/>
      <c r="B6" s="3"/>
      <c r="C6" s="4"/>
      <c r="D6" s="4"/>
      <c r="E6" s="4"/>
      <c r="F6" s="64"/>
      <c r="G6" s="65"/>
      <c r="H6" s="64"/>
      <c r="I6" s="65"/>
      <c r="J6" s="64"/>
      <c r="K6" s="65"/>
      <c r="L6" s="64"/>
      <c r="M6" s="65"/>
      <c r="N6" s="64"/>
      <c r="O6" s="65"/>
      <c r="P6" s="64"/>
      <c r="Q6" s="65"/>
      <c r="R6" s="4"/>
      <c r="S6" s="4"/>
      <c r="T6" s="4"/>
      <c r="U6" s="13"/>
      <c r="W6" s="3"/>
      <c r="X6" s="4"/>
      <c r="Y6" s="4"/>
      <c r="Z6" s="4"/>
      <c r="AA6" s="64"/>
      <c r="AB6" s="65"/>
      <c r="AC6" s="64"/>
      <c r="AD6" s="65"/>
      <c r="AE6" s="64"/>
      <c r="AF6" s="65"/>
      <c r="AG6" s="64"/>
      <c r="AH6" s="65"/>
      <c r="AI6" s="64"/>
      <c r="AJ6" s="65"/>
      <c r="AK6" s="64"/>
      <c r="AL6" s="65"/>
      <c r="AM6" s="4"/>
      <c r="AN6" s="4"/>
      <c r="AO6" s="4"/>
      <c r="AP6" s="13"/>
      <c r="AR6" s="3"/>
      <c r="AS6" s="4"/>
      <c r="AT6" s="4"/>
      <c r="AU6" s="4"/>
      <c r="AV6" s="64"/>
      <c r="AW6" s="65"/>
      <c r="AX6" s="64"/>
      <c r="AY6" s="65"/>
      <c r="AZ6" s="64"/>
      <c r="BA6" s="65"/>
      <c r="BB6" s="64"/>
      <c r="BC6" s="65"/>
      <c r="BD6" s="64"/>
      <c r="BE6" s="65"/>
      <c r="BF6" s="64"/>
      <c r="BG6" s="65"/>
      <c r="BH6" s="4"/>
      <c r="BI6" s="4"/>
      <c r="BJ6" s="4"/>
      <c r="BK6" s="13"/>
      <c r="BM6" s="3"/>
      <c r="BN6" s="4"/>
      <c r="BO6" s="4"/>
      <c r="BP6" s="4"/>
      <c r="BQ6" s="64"/>
      <c r="BR6" s="65"/>
      <c r="BS6" s="64"/>
      <c r="BT6" s="65"/>
      <c r="BU6" s="64"/>
      <c r="BV6" s="65"/>
      <c r="BW6" s="64"/>
      <c r="BX6" s="65"/>
      <c r="BY6" s="64"/>
      <c r="BZ6" s="65"/>
      <c r="CA6" s="64"/>
      <c r="CB6" s="65"/>
      <c r="CC6" s="4"/>
      <c r="CD6" s="4"/>
      <c r="CE6" s="4"/>
      <c r="CF6" s="13"/>
    </row>
    <row r="7" spans="1:84" ht="18" customHeight="1" x14ac:dyDescent="0.5">
      <c r="A7" s="18"/>
      <c r="B7" s="3"/>
      <c r="C7" s="4"/>
      <c r="D7" s="4"/>
      <c r="E7" s="62"/>
      <c r="F7" s="63"/>
      <c r="G7" s="70">
        <v>5</v>
      </c>
      <c r="H7" s="63"/>
      <c r="I7" s="62"/>
      <c r="J7" s="63"/>
      <c r="K7" s="62"/>
      <c r="L7" s="63"/>
      <c r="M7" s="71">
        <v>6</v>
      </c>
      <c r="N7" s="63"/>
      <c r="O7" s="69">
        <v>3</v>
      </c>
      <c r="P7" s="63"/>
      <c r="Q7" s="68">
        <v>4</v>
      </c>
      <c r="R7" s="63"/>
      <c r="S7" s="4"/>
      <c r="T7" s="4"/>
      <c r="U7" s="13"/>
      <c r="W7" s="3"/>
      <c r="X7" s="4"/>
      <c r="Y7" s="4"/>
      <c r="Z7" s="71">
        <v>6</v>
      </c>
      <c r="AA7" s="63"/>
      <c r="AB7" s="69">
        <v>3</v>
      </c>
      <c r="AC7" s="63"/>
      <c r="AD7" s="67">
        <v>2</v>
      </c>
      <c r="AE7" s="63"/>
      <c r="AF7" s="70">
        <v>5</v>
      </c>
      <c r="AG7" s="63"/>
      <c r="AH7" s="68">
        <v>4</v>
      </c>
      <c r="AI7" s="63"/>
      <c r="AJ7" s="68">
        <v>4</v>
      </c>
      <c r="AK7" s="63"/>
      <c r="AL7" s="62"/>
      <c r="AM7" s="63"/>
      <c r="AN7" s="4"/>
      <c r="AO7" s="4"/>
      <c r="AP7" s="13"/>
      <c r="AR7" s="3"/>
      <c r="AS7" s="4"/>
      <c r="AT7" s="4"/>
      <c r="AU7" s="62"/>
      <c r="AV7" s="63"/>
      <c r="AW7" s="70">
        <v>5</v>
      </c>
      <c r="AX7" s="63"/>
      <c r="AY7" s="62"/>
      <c r="AZ7" s="63"/>
      <c r="BA7" s="62"/>
      <c r="BB7" s="63"/>
      <c r="BC7" s="71">
        <v>6</v>
      </c>
      <c r="BD7" s="63"/>
      <c r="BE7" s="69">
        <v>3</v>
      </c>
      <c r="BF7" s="63"/>
      <c r="BG7" s="68">
        <v>4</v>
      </c>
      <c r="BH7" s="63"/>
      <c r="BI7" s="4"/>
      <c r="BJ7" s="4"/>
      <c r="BK7" s="13"/>
      <c r="BM7" s="3"/>
      <c r="BN7" s="4"/>
      <c r="BO7" s="4"/>
      <c r="BP7" s="62"/>
      <c r="BQ7" s="63"/>
      <c r="BR7" s="68">
        <v>4</v>
      </c>
      <c r="BS7" s="63"/>
      <c r="BT7" s="70">
        <v>5</v>
      </c>
      <c r="BU7" s="63"/>
      <c r="BV7" s="68">
        <v>4</v>
      </c>
      <c r="BW7" s="63"/>
      <c r="BX7" s="67">
        <v>2</v>
      </c>
      <c r="BY7" s="63"/>
      <c r="BZ7" s="62"/>
      <c r="CA7" s="63"/>
      <c r="CB7" s="71">
        <v>6</v>
      </c>
      <c r="CC7" s="63"/>
      <c r="CD7" s="4"/>
      <c r="CE7" s="4"/>
      <c r="CF7" s="13"/>
    </row>
    <row r="8" spans="1:84" ht="18" customHeight="1" x14ac:dyDescent="0.5">
      <c r="A8" s="18"/>
      <c r="B8" s="3"/>
      <c r="C8" s="4"/>
      <c r="D8" s="4"/>
      <c r="E8" s="64"/>
      <c r="F8" s="65"/>
      <c r="G8" s="64"/>
      <c r="H8" s="65"/>
      <c r="I8" s="64"/>
      <c r="J8" s="65"/>
      <c r="K8" s="64"/>
      <c r="L8" s="65"/>
      <c r="M8" s="64"/>
      <c r="N8" s="65"/>
      <c r="O8" s="64"/>
      <c r="P8" s="65"/>
      <c r="Q8" s="64"/>
      <c r="R8" s="65"/>
      <c r="S8" s="4"/>
      <c r="T8" s="4"/>
      <c r="U8" s="13"/>
      <c r="W8" s="3"/>
      <c r="X8" s="4"/>
      <c r="Y8" s="4"/>
      <c r="Z8" s="64"/>
      <c r="AA8" s="65"/>
      <c r="AB8" s="64"/>
      <c r="AC8" s="65"/>
      <c r="AD8" s="64"/>
      <c r="AE8" s="65"/>
      <c r="AF8" s="64"/>
      <c r="AG8" s="65"/>
      <c r="AH8" s="64"/>
      <c r="AI8" s="65"/>
      <c r="AJ8" s="64"/>
      <c r="AK8" s="65"/>
      <c r="AL8" s="64"/>
      <c r="AM8" s="65"/>
      <c r="AN8" s="4"/>
      <c r="AO8" s="4"/>
      <c r="AP8" s="13"/>
      <c r="AR8" s="3"/>
      <c r="AS8" s="4"/>
      <c r="AT8" s="4"/>
      <c r="AU8" s="64"/>
      <c r="AV8" s="65"/>
      <c r="AW8" s="64"/>
      <c r="AX8" s="65"/>
      <c r="AY8" s="64"/>
      <c r="AZ8" s="65"/>
      <c r="BA8" s="64"/>
      <c r="BB8" s="65"/>
      <c r="BC8" s="64"/>
      <c r="BD8" s="65"/>
      <c r="BE8" s="64"/>
      <c r="BF8" s="65"/>
      <c r="BG8" s="64"/>
      <c r="BH8" s="65"/>
      <c r="BI8" s="4"/>
      <c r="BJ8" s="4"/>
      <c r="BK8" s="13"/>
      <c r="BM8" s="3"/>
      <c r="BN8" s="4"/>
      <c r="BO8" s="4"/>
      <c r="BP8" s="64"/>
      <c r="BQ8" s="65"/>
      <c r="BR8" s="64"/>
      <c r="BS8" s="65"/>
      <c r="BT8" s="64"/>
      <c r="BU8" s="65"/>
      <c r="BV8" s="64"/>
      <c r="BW8" s="65"/>
      <c r="BX8" s="64"/>
      <c r="BY8" s="65"/>
      <c r="BZ8" s="64"/>
      <c r="CA8" s="65"/>
      <c r="CB8" s="64"/>
      <c r="CC8" s="65"/>
      <c r="CD8" s="4"/>
      <c r="CE8" s="4"/>
      <c r="CF8" s="13"/>
    </row>
    <row r="9" spans="1:84" ht="18" customHeight="1" x14ac:dyDescent="0.5">
      <c r="A9" s="18"/>
      <c r="B9" s="3"/>
      <c r="C9" s="4"/>
      <c r="D9" s="66">
        <v>1</v>
      </c>
      <c r="E9" s="63"/>
      <c r="F9" s="62"/>
      <c r="G9" s="63"/>
      <c r="H9" s="71">
        <v>6</v>
      </c>
      <c r="I9" s="63"/>
      <c r="J9" s="62"/>
      <c r="K9" s="63"/>
      <c r="L9" s="70">
        <v>5</v>
      </c>
      <c r="M9" s="63"/>
      <c r="N9" s="69">
        <v>3</v>
      </c>
      <c r="O9" s="63"/>
      <c r="P9" s="66">
        <v>1</v>
      </c>
      <c r="Q9" s="63"/>
      <c r="R9" s="62"/>
      <c r="S9" s="63"/>
      <c r="T9" s="4"/>
      <c r="U9" s="13"/>
      <c r="W9" s="3"/>
      <c r="X9" s="4"/>
      <c r="Y9" s="70">
        <v>5</v>
      </c>
      <c r="Z9" s="63"/>
      <c r="AA9" s="71">
        <v>6</v>
      </c>
      <c r="AB9" s="63"/>
      <c r="AC9" s="68">
        <v>4</v>
      </c>
      <c r="AD9" s="63"/>
      <c r="AE9" s="71">
        <v>6</v>
      </c>
      <c r="AF9" s="63"/>
      <c r="AG9" s="62"/>
      <c r="AH9" s="63"/>
      <c r="AI9" s="62"/>
      <c r="AJ9" s="63"/>
      <c r="AK9" s="68">
        <v>4</v>
      </c>
      <c r="AL9" s="63"/>
      <c r="AM9" s="70">
        <v>5</v>
      </c>
      <c r="AN9" s="63"/>
      <c r="AO9" s="4"/>
      <c r="AP9" s="13"/>
      <c r="AR9" s="3"/>
      <c r="AS9" s="4"/>
      <c r="AT9" s="66">
        <v>1</v>
      </c>
      <c r="AU9" s="63"/>
      <c r="AV9" s="62"/>
      <c r="AW9" s="63"/>
      <c r="AX9" s="71">
        <v>6</v>
      </c>
      <c r="AY9" s="63"/>
      <c r="AZ9" s="62"/>
      <c r="BA9" s="63"/>
      <c r="BB9" s="70">
        <v>5</v>
      </c>
      <c r="BC9" s="63"/>
      <c r="BD9" s="69">
        <v>3</v>
      </c>
      <c r="BE9" s="63"/>
      <c r="BF9" s="66">
        <v>1</v>
      </c>
      <c r="BG9" s="63"/>
      <c r="BH9" s="62"/>
      <c r="BI9" s="63"/>
      <c r="BJ9" s="4"/>
      <c r="BK9" s="13"/>
      <c r="BM9" s="3"/>
      <c r="BN9" s="4"/>
      <c r="BO9" s="67">
        <v>2</v>
      </c>
      <c r="BP9" s="63"/>
      <c r="BQ9" s="69">
        <v>3</v>
      </c>
      <c r="BR9" s="63"/>
      <c r="BS9" s="67">
        <v>2</v>
      </c>
      <c r="BT9" s="63"/>
      <c r="BU9" s="68">
        <v>4</v>
      </c>
      <c r="BV9" s="63"/>
      <c r="BW9" s="71">
        <v>6</v>
      </c>
      <c r="BX9" s="63"/>
      <c r="BY9" s="62"/>
      <c r="BZ9" s="63"/>
      <c r="CA9" s="66">
        <v>1</v>
      </c>
      <c r="CB9" s="63"/>
      <c r="CC9" s="62"/>
      <c r="CD9" s="63"/>
      <c r="CE9" s="4"/>
      <c r="CF9" s="13"/>
    </row>
    <row r="10" spans="1:84" ht="18" customHeight="1" x14ac:dyDescent="0.5">
      <c r="A10" s="18"/>
      <c r="B10" s="3"/>
      <c r="C10" s="4"/>
      <c r="D10" s="64"/>
      <c r="E10" s="65"/>
      <c r="F10" s="64"/>
      <c r="G10" s="65"/>
      <c r="H10" s="64"/>
      <c r="I10" s="65"/>
      <c r="J10" s="64"/>
      <c r="K10" s="65"/>
      <c r="L10" s="64"/>
      <c r="M10" s="65"/>
      <c r="N10" s="64"/>
      <c r="O10" s="65"/>
      <c r="P10" s="64"/>
      <c r="Q10" s="65"/>
      <c r="R10" s="64"/>
      <c r="S10" s="65"/>
      <c r="T10" s="4"/>
      <c r="U10" s="13"/>
      <c r="W10" s="3"/>
      <c r="X10" s="4"/>
      <c r="Y10" s="64"/>
      <c r="Z10" s="65"/>
      <c r="AA10" s="64"/>
      <c r="AB10" s="65"/>
      <c r="AC10" s="64"/>
      <c r="AD10" s="65"/>
      <c r="AE10" s="64"/>
      <c r="AF10" s="65"/>
      <c r="AG10" s="64"/>
      <c r="AH10" s="65"/>
      <c r="AI10" s="64"/>
      <c r="AJ10" s="65"/>
      <c r="AK10" s="64"/>
      <c r="AL10" s="65"/>
      <c r="AM10" s="64"/>
      <c r="AN10" s="65"/>
      <c r="AO10" s="4"/>
      <c r="AP10" s="13"/>
      <c r="AR10" s="3"/>
      <c r="AS10" s="4"/>
      <c r="AT10" s="64"/>
      <c r="AU10" s="65"/>
      <c r="AV10" s="64"/>
      <c r="AW10" s="65"/>
      <c r="AX10" s="64"/>
      <c r="AY10" s="65"/>
      <c r="AZ10" s="64"/>
      <c r="BA10" s="65"/>
      <c r="BB10" s="64"/>
      <c r="BC10" s="65"/>
      <c r="BD10" s="64"/>
      <c r="BE10" s="65"/>
      <c r="BF10" s="64"/>
      <c r="BG10" s="65"/>
      <c r="BH10" s="64"/>
      <c r="BI10" s="65"/>
      <c r="BJ10" s="4"/>
      <c r="BK10" s="13"/>
      <c r="BM10" s="3"/>
      <c r="BN10" s="4"/>
      <c r="BO10" s="64"/>
      <c r="BP10" s="65"/>
      <c r="BQ10" s="64"/>
      <c r="BR10" s="65"/>
      <c r="BS10" s="64"/>
      <c r="BT10" s="65"/>
      <c r="BU10" s="64"/>
      <c r="BV10" s="65"/>
      <c r="BW10" s="64"/>
      <c r="BX10" s="65"/>
      <c r="BY10" s="64"/>
      <c r="BZ10" s="65"/>
      <c r="CA10" s="64"/>
      <c r="CB10" s="65"/>
      <c r="CC10" s="64"/>
      <c r="CD10" s="65"/>
      <c r="CE10" s="4"/>
      <c r="CF10" s="13"/>
    </row>
    <row r="11" spans="1:84" ht="18" customHeight="1" x14ac:dyDescent="0.5">
      <c r="A11" s="18"/>
      <c r="B11" s="3"/>
      <c r="C11" s="71">
        <v>6</v>
      </c>
      <c r="D11" s="63"/>
      <c r="E11" s="62"/>
      <c r="F11" s="63"/>
      <c r="G11" s="62"/>
      <c r="H11" s="63"/>
      <c r="I11" s="62"/>
      <c r="J11" s="63"/>
      <c r="K11" s="70">
        <v>5</v>
      </c>
      <c r="L11" s="63"/>
      <c r="M11" s="66">
        <v>1</v>
      </c>
      <c r="N11" s="63"/>
      <c r="O11" s="68">
        <v>4</v>
      </c>
      <c r="P11" s="63"/>
      <c r="Q11" s="66">
        <v>1</v>
      </c>
      <c r="R11" s="63"/>
      <c r="S11" s="62"/>
      <c r="T11" s="63"/>
      <c r="U11" s="13"/>
      <c r="W11" s="3"/>
      <c r="X11" s="62"/>
      <c r="Y11" s="63"/>
      <c r="Z11" s="62"/>
      <c r="AA11" s="63"/>
      <c r="AB11" s="62"/>
      <c r="AC11" s="63"/>
      <c r="AD11" s="62"/>
      <c r="AE11" s="63"/>
      <c r="AF11" s="62"/>
      <c r="AG11" s="63"/>
      <c r="AH11" s="66">
        <v>1</v>
      </c>
      <c r="AI11" s="63"/>
      <c r="AJ11" s="62"/>
      <c r="AK11" s="63"/>
      <c r="AL11" s="66">
        <v>1</v>
      </c>
      <c r="AM11" s="63"/>
      <c r="AN11" s="68">
        <v>4</v>
      </c>
      <c r="AO11" s="63"/>
      <c r="AP11" s="13"/>
      <c r="AR11" s="3"/>
      <c r="AS11" s="71">
        <v>6</v>
      </c>
      <c r="AT11" s="63"/>
      <c r="AU11" s="62"/>
      <c r="AV11" s="63"/>
      <c r="AW11" s="62"/>
      <c r="AX11" s="63"/>
      <c r="AY11" s="62"/>
      <c r="AZ11" s="63"/>
      <c r="BA11" s="70">
        <v>5</v>
      </c>
      <c r="BB11" s="63"/>
      <c r="BC11" s="66">
        <v>1</v>
      </c>
      <c r="BD11" s="63"/>
      <c r="BE11" s="68">
        <v>4</v>
      </c>
      <c r="BF11" s="63"/>
      <c r="BG11" s="66">
        <v>1</v>
      </c>
      <c r="BH11" s="63"/>
      <c r="BI11" s="62"/>
      <c r="BJ11" s="63"/>
      <c r="BK11" s="13"/>
      <c r="BM11" s="3"/>
      <c r="BN11" s="70">
        <v>5</v>
      </c>
      <c r="BO11" s="63"/>
      <c r="BP11" s="62"/>
      <c r="BQ11" s="63"/>
      <c r="BR11" s="71">
        <v>6</v>
      </c>
      <c r="BS11" s="63"/>
      <c r="BT11" s="62"/>
      <c r="BU11" s="63"/>
      <c r="BV11" s="62"/>
      <c r="BW11" s="63"/>
      <c r="BX11" s="70">
        <v>5</v>
      </c>
      <c r="BY11" s="63"/>
      <c r="BZ11" s="70">
        <v>5</v>
      </c>
      <c r="CA11" s="63"/>
      <c r="CB11" s="66">
        <v>1</v>
      </c>
      <c r="CC11" s="63"/>
      <c r="CD11" s="62"/>
      <c r="CE11" s="63"/>
      <c r="CF11" s="13"/>
    </row>
    <row r="12" spans="1:84" ht="18" customHeight="1" x14ac:dyDescent="0.5">
      <c r="A12" s="18"/>
      <c r="B12" s="3"/>
      <c r="C12" s="64"/>
      <c r="D12" s="65"/>
      <c r="E12" s="64"/>
      <c r="F12" s="65"/>
      <c r="G12" s="64"/>
      <c r="H12" s="65"/>
      <c r="I12" s="64"/>
      <c r="J12" s="65"/>
      <c r="K12" s="64"/>
      <c r="L12" s="65"/>
      <c r="M12" s="64"/>
      <c r="N12" s="65"/>
      <c r="O12" s="64"/>
      <c r="P12" s="65"/>
      <c r="Q12" s="64"/>
      <c r="R12" s="65"/>
      <c r="S12" s="64"/>
      <c r="T12" s="65"/>
      <c r="U12" s="13"/>
      <c r="W12" s="3"/>
      <c r="X12" s="64"/>
      <c r="Y12" s="65"/>
      <c r="Z12" s="64"/>
      <c r="AA12" s="65"/>
      <c r="AB12" s="64"/>
      <c r="AC12" s="65"/>
      <c r="AD12" s="64"/>
      <c r="AE12" s="65"/>
      <c r="AF12" s="64"/>
      <c r="AG12" s="65"/>
      <c r="AH12" s="64"/>
      <c r="AI12" s="65"/>
      <c r="AJ12" s="64"/>
      <c r="AK12" s="65"/>
      <c r="AL12" s="64"/>
      <c r="AM12" s="65"/>
      <c r="AN12" s="64"/>
      <c r="AO12" s="65"/>
      <c r="AP12" s="13"/>
      <c r="AR12" s="3"/>
      <c r="AS12" s="64"/>
      <c r="AT12" s="65"/>
      <c r="AU12" s="64"/>
      <c r="AV12" s="65"/>
      <c r="AW12" s="64"/>
      <c r="AX12" s="65"/>
      <c r="AY12" s="64"/>
      <c r="AZ12" s="65"/>
      <c r="BA12" s="64"/>
      <c r="BB12" s="65"/>
      <c r="BC12" s="64"/>
      <c r="BD12" s="65"/>
      <c r="BE12" s="64"/>
      <c r="BF12" s="65"/>
      <c r="BG12" s="64"/>
      <c r="BH12" s="65"/>
      <c r="BI12" s="64"/>
      <c r="BJ12" s="65"/>
      <c r="BK12" s="13"/>
      <c r="BM12" s="3"/>
      <c r="BN12" s="64"/>
      <c r="BO12" s="65"/>
      <c r="BP12" s="64"/>
      <c r="BQ12" s="65"/>
      <c r="BR12" s="64"/>
      <c r="BS12" s="65"/>
      <c r="BT12" s="64"/>
      <c r="BU12" s="65"/>
      <c r="BV12" s="64"/>
      <c r="BW12" s="65"/>
      <c r="BX12" s="64"/>
      <c r="BY12" s="65"/>
      <c r="BZ12" s="64"/>
      <c r="CA12" s="65"/>
      <c r="CB12" s="64"/>
      <c r="CC12" s="65"/>
      <c r="CD12" s="64"/>
      <c r="CE12" s="65"/>
      <c r="CF12" s="13"/>
    </row>
    <row r="13" spans="1:84" ht="18" customHeight="1" x14ac:dyDescent="0.5">
      <c r="A13" s="18"/>
      <c r="B13" s="3"/>
      <c r="C13" s="4"/>
      <c r="D13" s="68">
        <v>4</v>
      </c>
      <c r="E13" s="63"/>
      <c r="F13" s="62"/>
      <c r="G13" s="63"/>
      <c r="H13" s="62"/>
      <c r="I13" s="63"/>
      <c r="J13" s="62"/>
      <c r="K13" s="63"/>
      <c r="L13" s="68">
        <v>4</v>
      </c>
      <c r="M13" s="63"/>
      <c r="N13" s="66">
        <v>1</v>
      </c>
      <c r="O13" s="63"/>
      <c r="P13" s="69">
        <v>3</v>
      </c>
      <c r="Q13" s="63"/>
      <c r="R13" s="62"/>
      <c r="S13" s="63"/>
      <c r="T13" s="4"/>
      <c r="U13" s="13"/>
      <c r="W13" s="3"/>
      <c r="X13" s="4"/>
      <c r="Y13" s="62"/>
      <c r="Z13" s="63"/>
      <c r="AA13" s="62"/>
      <c r="AB13" s="63"/>
      <c r="AC13" s="66">
        <v>1</v>
      </c>
      <c r="AD13" s="63"/>
      <c r="AE13" s="62"/>
      <c r="AF13" s="63"/>
      <c r="AG13" s="62"/>
      <c r="AH13" s="63"/>
      <c r="AI13" s="62"/>
      <c r="AJ13" s="63"/>
      <c r="AK13" s="62"/>
      <c r="AL13" s="63"/>
      <c r="AM13" s="70">
        <v>5</v>
      </c>
      <c r="AN13" s="63"/>
      <c r="AO13" s="4"/>
      <c r="AP13" s="13"/>
      <c r="AR13" s="3"/>
      <c r="AS13" s="4"/>
      <c r="AT13" s="68">
        <v>4</v>
      </c>
      <c r="AU13" s="63"/>
      <c r="AV13" s="62"/>
      <c r="AW13" s="63"/>
      <c r="AX13" s="62"/>
      <c r="AY13" s="63"/>
      <c r="AZ13" s="62"/>
      <c r="BA13" s="63"/>
      <c r="BB13" s="68">
        <v>4</v>
      </c>
      <c r="BC13" s="63"/>
      <c r="BD13" s="66">
        <v>1</v>
      </c>
      <c r="BE13" s="63"/>
      <c r="BF13" s="69">
        <v>3</v>
      </c>
      <c r="BG13" s="63"/>
      <c r="BH13" s="62"/>
      <c r="BI13" s="63"/>
      <c r="BJ13" s="4"/>
      <c r="BK13" s="13"/>
      <c r="BM13" s="3"/>
      <c r="BN13" s="4"/>
      <c r="BO13" s="71">
        <v>6</v>
      </c>
      <c r="BP13" s="63"/>
      <c r="BQ13" s="70">
        <v>5</v>
      </c>
      <c r="BR13" s="63"/>
      <c r="BS13" s="71">
        <v>6</v>
      </c>
      <c r="BT13" s="63"/>
      <c r="BU13" s="62"/>
      <c r="BV13" s="63"/>
      <c r="BW13" s="62"/>
      <c r="BX13" s="63"/>
      <c r="BY13" s="62"/>
      <c r="BZ13" s="63"/>
      <c r="CA13" s="66">
        <v>1</v>
      </c>
      <c r="CB13" s="63"/>
      <c r="CC13" s="62"/>
      <c r="CD13" s="63"/>
      <c r="CE13" s="4"/>
      <c r="CF13" s="13"/>
    </row>
    <row r="14" spans="1:84" ht="18" customHeight="1" x14ac:dyDescent="0.5">
      <c r="A14" s="18"/>
      <c r="B14" s="3"/>
      <c r="C14" s="4"/>
      <c r="D14" s="64"/>
      <c r="E14" s="65"/>
      <c r="F14" s="64"/>
      <c r="G14" s="65"/>
      <c r="H14" s="64"/>
      <c r="I14" s="65"/>
      <c r="J14" s="64"/>
      <c r="K14" s="65"/>
      <c r="L14" s="64"/>
      <c r="M14" s="65"/>
      <c r="N14" s="64"/>
      <c r="O14" s="65"/>
      <c r="P14" s="64"/>
      <c r="Q14" s="65"/>
      <c r="R14" s="64"/>
      <c r="S14" s="65"/>
      <c r="T14" s="4"/>
      <c r="U14" s="13"/>
      <c r="W14" s="3"/>
      <c r="X14" s="4"/>
      <c r="Y14" s="64"/>
      <c r="Z14" s="65"/>
      <c r="AA14" s="64"/>
      <c r="AB14" s="65"/>
      <c r="AC14" s="64"/>
      <c r="AD14" s="65"/>
      <c r="AE14" s="64"/>
      <c r="AF14" s="65"/>
      <c r="AG14" s="64"/>
      <c r="AH14" s="65"/>
      <c r="AI14" s="64"/>
      <c r="AJ14" s="65"/>
      <c r="AK14" s="64"/>
      <c r="AL14" s="65"/>
      <c r="AM14" s="64"/>
      <c r="AN14" s="65"/>
      <c r="AO14" s="4"/>
      <c r="AP14" s="13"/>
      <c r="AR14" s="3"/>
      <c r="AS14" s="4"/>
      <c r="AT14" s="64"/>
      <c r="AU14" s="65"/>
      <c r="AV14" s="64"/>
      <c r="AW14" s="65"/>
      <c r="AX14" s="64"/>
      <c r="AY14" s="65"/>
      <c r="AZ14" s="64"/>
      <c r="BA14" s="65"/>
      <c r="BB14" s="64"/>
      <c r="BC14" s="65"/>
      <c r="BD14" s="64"/>
      <c r="BE14" s="65"/>
      <c r="BF14" s="64"/>
      <c r="BG14" s="65"/>
      <c r="BH14" s="64"/>
      <c r="BI14" s="65"/>
      <c r="BJ14" s="4"/>
      <c r="BK14" s="13"/>
      <c r="BM14" s="3"/>
      <c r="BN14" s="4"/>
      <c r="BO14" s="64"/>
      <c r="BP14" s="65"/>
      <c r="BQ14" s="64"/>
      <c r="BR14" s="65"/>
      <c r="BS14" s="64"/>
      <c r="BT14" s="65"/>
      <c r="BU14" s="64"/>
      <c r="BV14" s="65"/>
      <c r="BW14" s="64"/>
      <c r="BX14" s="65"/>
      <c r="BY14" s="64"/>
      <c r="BZ14" s="65"/>
      <c r="CA14" s="64"/>
      <c r="CB14" s="65"/>
      <c r="CC14" s="64"/>
      <c r="CD14" s="65"/>
      <c r="CE14" s="4"/>
      <c r="CF14" s="13"/>
    </row>
    <row r="15" spans="1:84" ht="18" customHeight="1" x14ac:dyDescent="0.5">
      <c r="A15" s="18"/>
      <c r="B15" s="3"/>
      <c r="C15" s="4"/>
      <c r="D15" s="4"/>
      <c r="E15" s="71">
        <v>6</v>
      </c>
      <c r="F15" s="63"/>
      <c r="G15" s="67">
        <v>2</v>
      </c>
      <c r="H15" s="63"/>
      <c r="I15" s="62"/>
      <c r="J15" s="63"/>
      <c r="K15" s="67">
        <v>2</v>
      </c>
      <c r="L15" s="63"/>
      <c r="M15" s="66">
        <v>1</v>
      </c>
      <c r="N15" s="63"/>
      <c r="O15" s="68">
        <v>4</v>
      </c>
      <c r="P15" s="63"/>
      <c r="Q15" s="62"/>
      <c r="R15" s="63"/>
      <c r="S15" s="4"/>
      <c r="T15" s="4"/>
      <c r="U15" s="13"/>
      <c r="W15" s="3"/>
      <c r="X15" s="4"/>
      <c r="Y15" s="4"/>
      <c r="Z15" s="67">
        <v>2</v>
      </c>
      <c r="AA15" s="63"/>
      <c r="AB15" s="66">
        <v>1</v>
      </c>
      <c r="AC15" s="63"/>
      <c r="AD15" s="69">
        <v>3</v>
      </c>
      <c r="AE15" s="63"/>
      <c r="AF15" s="71">
        <v>6</v>
      </c>
      <c r="AG15" s="63"/>
      <c r="AH15" s="69">
        <v>3</v>
      </c>
      <c r="AI15" s="63"/>
      <c r="AJ15" s="66">
        <v>1</v>
      </c>
      <c r="AK15" s="63"/>
      <c r="AL15" s="68">
        <v>4</v>
      </c>
      <c r="AM15" s="63"/>
      <c r="AN15" s="4"/>
      <c r="AO15" s="4"/>
      <c r="AP15" s="13"/>
      <c r="AR15" s="3"/>
      <c r="AS15" s="4"/>
      <c r="AT15" s="4"/>
      <c r="AU15" s="71">
        <v>6</v>
      </c>
      <c r="AV15" s="63"/>
      <c r="AW15" s="67">
        <v>2</v>
      </c>
      <c r="AX15" s="63"/>
      <c r="AY15" s="62"/>
      <c r="AZ15" s="63"/>
      <c r="BA15" s="67">
        <v>2</v>
      </c>
      <c r="BB15" s="63"/>
      <c r="BC15" s="66">
        <v>1</v>
      </c>
      <c r="BD15" s="63"/>
      <c r="BE15" s="68">
        <v>4</v>
      </c>
      <c r="BF15" s="63"/>
      <c r="BG15" s="62"/>
      <c r="BH15" s="63"/>
      <c r="BI15" s="4"/>
      <c r="BJ15" s="4"/>
      <c r="BK15" s="13"/>
      <c r="BM15" s="3"/>
      <c r="BN15" s="4"/>
      <c r="BO15" s="4"/>
      <c r="BP15" s="62"/>
      <c r="BQ15" s="63"/>
      <c r="BR15" s="70">
        <v>5</v>
      </c>
      <c r="BS15" s="63"/>
      <c r="BT15" s="69">
        <v>3</v>
      </c>
      <c r="BU15" s="63"/>
      <c r="BV15" s="70">
        <v>5</v>
      </c>
      <c r="BW15" s="63"/>
      <c r="BX15" s="68">
        <v>4</v>
      </c>
      <c r="BY15" s="63"/>
      <c r="BZ15" s="70">
        <v>5</v>
      </c>
      <c r="CA15" s="63"/>
      <c r="CB15" s="68">
        <v>4</v>
      </c>
      <c r="CC15" s="63"/>
      <c r="CD15" s="4"/>
      <c r="CE15" s="4"/>
      <c r="CF15" s="13"/>
    </row>
    <row r="16" spans="1:84" ht="18" customHeight="1" x14ac:dyDescent="0.5">
      <c r="A16" s="18"/>
      <c r="B16" s="3"/>
      <c r="C16" s="4"/>
      <c r="D16" s="4"/>
      <c r="E16" s="64"/>
      <c r="F16" s="65"/>
      <c r="G16" s="64"/>
      <c r="H16" s="65"/>
      <c r="I16" s="64"/>
      <c r="J16" s="65"/>
      <c r="K16" s="64"/>
      <c r="L16" s="65"/>
      <c r="M16" s="64"/>
      <c r="N16" s="65"/>
      <c r="O16" s="64"/>
      <c r="P16" s="65"/>
      <c r="Q16" s="64"/>
      <c r="R16" s="65"/>
      <c r="S16" s="4"/>
      <c r="T16" s="4"/>
      <c r="U16" s="13"/>
      <c r="W16" s="3"/>
      <c r="X16" s="4"/>
      <c r="Y16" s="4"/>
      <c r="Z16" s="64"/>
      <c r="AA16" s="65"/>
      <c r="AB16" s="64"/>
      <c r="AC16" s="65"/>
      <c r="AD16" s="64"/>
      <c r="AE16" s="65"/>
      <c r="AF16" s="64"/>
      <c r="AG16" s="65"/>
      <c r="AH16" s="64"/>
      <c r="AI16" s="65"/>
      <c r="AJ16" s="64"/>
      <c r="AK16" s="65"/>
      <c r="AL16" s="64"/>
      <c r="AM16" s="65"/>
      <c r="AN16" s="4"/>
      <c r="AO16" s="4"/>
      <c r="AP16" s="13"/>
      <c r="AR16" s="3"/>
      <c r="AS16" s="4"/>
      <c r="AT16" s="4"/>
      <c r="AU16" s="64"/>
      <c r="AV16" s="65"/>
      <c r="AW16" s="64"/>
      <c r="AX16" s="65"/>
      <c r="AY16" s="64"/>
      <c r="AZ16" s="65"/>
      <c r="BA16" s="64"/>
      <c r="BB16" s="65"/>
      <c r="BC16" s="64"/>
      <c r="BD16" s="65"/>
      <c r="BE16" s="64"/>
      <c r="BF16" s="65"/>
      <c r="BG16" s="64"/>
      <c r="BH16" s="65"/>
      <c r="BI16" s="4"/>
      <c r="BJ16" s="4"/>
      <c r="BK16" s="13"/>
      <c r="BM16" s="3"/>
      <c r="BN16" s="4"/>
      <c r="BO16" s="4"/>
      <c r="BP16" s="64"/>
      <c r="BQ16" s="65"/>
      <c r="BR16" s="64"/>
      <c r="BS16" s="65"/>
      <c r="BT16" s="64"/>
      <c r="BU16" s="65"/>
      <c r="BV16" s="64"/>
      <c r="BW16" s="65"/>
      <c r="BX16" s="64"/>
      <c r="BY16" s="65"/>
      <c r="BZ16" s="64"/>
      <c r="CA16" s="65"/>
      <c r="CB16" s="64"/>
      <c r="CC16" s="65"/>
      <c r="CD16" s="4"/>
      <c r="CE16" s="4"/>
      <c r="CF16" s="13"/>
    </row>
    <row r="17" spans="1:103" ht="18" customHeight="1" x14ac:dyDescent="0.5">
      <c r="A17" s="18"/>
      <c r="B17" s="3"/>
      <c r="C17" s="4"/>
      <c r="D17" s="4"/>
      <c r="E17" s="4"/>
      <c r="F17" s="70">
        <v>5</v>
      </c>
      <c r="G17" s="63"/>
      <c r="H17" s="62"/>
      <c r="I17" s="63"/>
      <c r="J17" s="62"/>
      <c r="K17" s="63"/>
      <c r="L17" s="66">
        <v>1</v>
      </c>
      <c r="M17" s="63"/>
      <c r="N17" s="66">
        <v>1</v>
      </c>
      <c r="O17" s="63"/>
      <c r="P17" s="68">
        <v>4</v>
      </c>
      <c r="Q17" s="63"/>
      <c r="R17" s="4"/>
      <c r="S17" s="4"/>
      <c r="T17" s="4"/>
      <c r="U17" s="13"/>
      <c r="W17" s="3"/>
      <c r="X17" s="4"/>
      <c r="Y17" s="4"/>
      <c r="Z17" s="4"/>
      <c r="AA17" s="62"/>
      <c r="AB17" s="63"/>
      <c r="AC17" s="67">
        <v>2</v>
      </c>
      <c r="AD17" s="63"/>
      <c r="AE17" s="71">
        <v>6</v>
      </c>
      <c r="AF17" s="63"/>
      <c r="AG17" s="66">
        <v>1</v>
      </c>
      <c r="AH17" s="63"/>
      <c r="AI17" s="62"/>
      <c r="AJ17" s="63"/>
      <c r="AK17" s="69">
        <v>3</v>
      </c>
      <c r="AL17" s="63"/>
      <c r="AM17" s="4"/>
      <c r="AN17" s="4"/>
      <c r="AO17" s="4"/>
      <c r="AP17" s="13"/>
      <c r="AR17" s="3"/>
      <c r="AS17" s="4"/>
      <c r="AT17" s="4"/>
      <c r="AU17" s="4"/>
      <c r="AV17" s="70">
        <v>5</v>
      </c>
      <c r="AW17" s="63"/>
      <c r="AX17" s="62"/>
      <c r="AY17" s="63"/>
      <c r="AZ17" s="62"/>
      <c r="BA17" s="63"/>
      <c r="BB17" s="66">
        <v>1</v>
      </c>
      <c r="BC17" s="63"/>
      <c r="BD17" s="66">
        <v>1</v>
      </c>
      <c r="BE17" s="63"/>
      <c r="BF17" s="68">
        <v>4</v>
      </c>
      <c r="BG17" s="63"/>
      <c r="BH17" s="4"/>
      <c r="BI17" s="4"/>
      <c r="BJ17" s="4"/>
      <c r="BK17" s="13"/>
      <c r="BM17" s="3"/>
      <c r="BN17" s="4"/>
      <c r="BO17" s="4"/>
      <c r="BP17" s="4"/>
      <c r="BQ17" s="68">
        <v>4</v>
      </c>
      <c r="BR17" s="63"/>
      <c r="BS17" s="62"/>
      <c r="BT17" s="63"/>
      <c r="BU17" s="62"/>
      <c r="BV17" s="63"/>
      <c r="BW17" s="71">
        <v>6</v>
      </c>
      <c r="BX17" s="63"/>
      <c r="BY17" s="62"/>
      <c r="BZ17" s="63"/>
      <c r="CA17" s="68">
        <v>4</v>
      </c>
      <c r="CB17" s="63"/>
      <c r="CC17" s="4"/>
      <c r="CD17" s="4"/>
      <c r="CE17" s="4"/>
      <c r="CF17" s="13"/>
    </row>
    <row r="18" spans="1:103" ht="18" customHeight="1" x14ac:dyDescent="0.5">
      <c r="A18" s="18"/>
      <c r="B18" s="3"/>
      <c r="C18" s="4"/>
      <c r="D18" s="4"/>
      <c r="E18" s="4"/>
      <c r="F18" s="64"/>
      <c r="G18" s="65"/>
      <c r="H18" s="64"/>
      <c r="I18" s="65"/>
      <c r="J18" s="64"/>
      <c r="K18" s="65"/>
      <c r="L18" s="64"/>
      <c r="M18" s="65"/>
      <c r="N18" s="64"/>
      <c r="O18" s="65"/>
      <c r="P18" s="64"/>
      <c r="Q18" s="65"/>
      <c r="R18" s="4"/>
      <c r="S18" s="4"/>
      <c r="T18" s="4"/>
      <c r="U18" s="13"/>
      <c r="W18" s="3"/>
      <c r="X18" s="4"/>
      <c r="Y18" s="4"/>
      <c r="Z18" s="4"/>
      <c r="AA18" s="64"/>
      <c r="AB18" s="65"/>
      <c r="AC18" s="64"/>
      <c r="AD18" s="65"/>
      <c r="AE18" s="64"/>
      <c r="AF18" s="65"/>
      <c r="AG18" s="64"/>
      <c r="AH18" s="65"/>
      <c r="AI18" s="64"/>
      <c r="AJ18" s="65"/>
      <c r="AK18" s="64"/>
      <c r="AL18" s="65"/>
      <c r="AM18" s="4"/>
      <c r="AN18" s="4"/>
      <c r="AO18" s="4"/>
      <c r="AP18" s="13"/>
      <c r="AR18" s="3"/>
      <c r="AS18" s="4"/>
      <c r="AT18" s="4"/>
      <c r="AU18" s="4"/>
      <c r="AV18" s="64"/>
      <c r="AW18" s="65"/>
      <c r="AX18" s="64"/>
      <c r="AY18" s="65"/>
      <c r="AZ18" s="64"/>
      <c r="BA18" s="65"/>
      <c r="BB18" s="64"/>
      <c r="BC18" s="65"/>
      <c r="BD18" s="64"/>
      <c r="BE18" s="65"/>
      <c r="BF18" s="64"/>
      <c r="BG18" s="65"/>
      <c r="BH18" s="4"/>
      <c r="BI18" s="4"/>
      <c r="BJ18" s="4"/>
      <c r="BK18" s="13"/>
      <c r="BM18" s="3"/>
      <c r="BN18" s="4"/>
      <c r="BO18" s="4"/>
      <c r="BP18" s="4"/>
      <c r="BQ18" s="64"/>
      <c r="BR18" s="65"/>
      <c r="BS18" s="64"/>
      <c r="BT18" s="65"/>
      <c r="BU18" s="64"/>
      <c r="BV18" s="65"/>
      <c r="BW18" s="64"/>
      <c r="BX18" s="65"/>
      <c r="BY18" s="64"/>
      <c r="BZ18" s="65"/>
      <c r="CA18" s="64"/>
      <c r="CB18" s="65"/>
      <c r="CC18" s="4"/>
      <c r="CD18" s="4"/>
      <c r="CE18" s="4"/>
      <c r="CF18" s="13"/>
    </row>
    <row r="19" spans="1:103" ht="18" customHeight="1" x14ac:dyDescent="0.5">
      <c r="B19" s="3"/>
      <c r="C19" s="4"/>
      <c r="D19" s="4"/>
      <c r="E19" s="4"/>
      <c r="F19" s="4"/>
      <c r="G19" s="67">
        <v>2</v>
      </c>
      <c r="H19" s="63"/>
      <c r="I19" s="69">
        <v>3</v>
      </c>
      <c r="J19" s="63"/>
      <c r="K19" s="70">
        <v>5</v>
      </c>
      <c r="L19" s="63"/>
      <c r="M19" s="69">
        <v>3</v>
      </c>
      <c r="N19" s="63"/>
      <c r="O19" s="68">
        <v>4</v>
      </c>
      <c r="P19" s="63"/>
      <c r="Q19" s="4"/>
      <c r="R19" s="4"/>
      <c r="S19" s="4"/>
      <c r="T19" s="4"/>
      <c r="U19" s="13"/>
      <c r="W19" s="3"/>
      <c r="X19" s="4"/>
      <c r="Y19" s="4"/>
      <c r="Z19" s="4"/>
      <c r="AA19" s="4"/>
      <c r="AB19" s="67">
        <v>2</v>
      </c>
      <c r="AC19" s="63"/>
      <c r="AD19" s="68">
        <v>4</v>
      </c>
      <c r="AE19" s="63"/>
      <c r="AF19" s="62"/>
      <c r="AG19" s="63"/>
      <c r="AH19" s="66">
        <v>1</v>
      </c>
      <c r="AI19" s="63"/>
      <c r="AJ19" s="68">
        <v>4</v>
      </c>
      <c r="AK19" s="63"/>
      <c r="AL19" s="4"/>
      <c r="AM19" s="4"/>
      <c r="AN19" s="4"/>
      <c r="AO19" s="4"/>
      <c r="AP19" s="13"/>
      <c r="AR19" s="3"/>
      <c r="AS19" s="4"/>
      <c r="AT19" s="4"/>
      <c r="AU19" s="4"/>
      <c r="AV19" s="4"/>
      <c r="AW19" s="67">
        <v>2</v>
      </c>
      <c r="AX19" s="63"/>
      <c r="AY19" s="69">
        <v>3</v>
      </c>
      <c r="AZ19" s="63"/>
      <c r="BA19" s="70">
        <v>5</v>
      </c>
      <c r="BB19" s="63"/>
      <c r="BC19" s="69">
        <v>3</v>
      </c>
      <c r="BD19" s="63"/>
      <c r="BE19" s="68">
        <v>4</v>
      </c>
      <c r="BF19" s="63"/>
      <c r="BG19" s="4"/>
      <c r="BH19" s="4"/>
      <c r="BI19" s="4"/>
      <c r="BJ19" s="4"/>
      <c r="BK19" s="13"/>
      <c r="BM19" s="3"/>
      <c r="BN19" s="4"/>
      <c r="BO19" s="4"/>
      <c r="BP19" s="4"/>
      <c r="BQ19" s="4"/>
      <c r="BR19" s="70">
        <v>5</v>
      </c>
      <c r="BS19" s="63"/>
      <c r="BT19" s="62"/>
      <c r="BU19" s="63"/>
      <c r="BV19" s="68">
        <v>4</v>
      </c>
      <c r="BW19" s="63"/>
      <c r="BX19" s="66">
        <v>1</v>
      </c>
      <c r="BY19" s="63"/>
      <c r="BZ19" s="66">
        <v>1</v>
      </c>
      <c r="CA19" s="63"/>
      <c r="CB19" s="4"/>
      <c r="CC19" s="4"/>
      <c r="CD19" s="4"/>
      <c r="CE19" s="4"/>
      <c r="CF19" s="13"/>
    </row>
    <row r="20" spans="1:103" ht="18" customHeight="1" x14ac:dyDescent="0.5">
      <c r="B20" s="3"/>
      <c r="C20" s="4"/>
      <c r="D20" s="4"/>
      <c r="E20" s="4"/>
      <c r="F20" s="4"/>
      <c r="G20" s="64"/>
      <c r="H20" s="65"/>
      <c r="I20" s="64"/>
      <c r="J20" s="65"/>
      <c r="K20" s="64"/>
      <c r="L20" s="65"/>
      <c r="M20" s="64"/>
      <c r="N20" s="65"/>
      <c r="O20" s="64"/>
      <c r="P20" s="65"/>
      <c r="Q20" s="4"/>
      <c r="R20" s="4"/>
      <c r="S20" s="4"/>
      <c r="T20" s="4"/>
      <c r="U20" s="13"/>
      <c r="W20" s="3"/>
      <c r="X20" s="4"/>
      <c r="Y20" s="4"/>
      <c r="Z20" s="4"/>
      <c r="AA20" s="4"/>
      <c r="AB20" s="64"/>
      <c r="AC20" s="65"/>
      <c r="AD20" s="64"/>
      <c r="AE20" s="65"/>
      <c r="AF20" s="64"/>
      <c r="AG20" s="65"/>
      <c r="AH20" s="64"/>
      <c r="AI20" s="65"/>
      <c r="AJ20" s="64"/>
      <c r="AK20" s="65"/>
      <c r="AL20" s="4"/>
      <c r="AM20" s="4"/>
      <c r="AN20" s="4"/>
      <c r="AO20" s="4"/>
      <c r="AP20" s="13"/>
      <c r="AR20" s="3"/>
      <c r="AS20" s="4"/>
      <c r="AT20" s="4"/>
      <c r="AU20" s="4"/>
      <c r="AV20" s="4"/>
      <c r="AW20" s="64"/>
      <c r="AX20" s="65"/>
      <c r="AY20" s="64"/>
      <c r="AZ20" s="65"/>
      <c r="BA20" s="64"/>
      <c r="BB20" s="65"/>
      <c r="BC20" s="64"/>
      <c r="BD20" s="65"/>
      <c r="BE20" s="64"/>
      <c r="BF20" s="65"/>
      <c r="BG20" s="4"/>
      <c r="BH20" s="4"/>
      <c r="BI20" s="4"/>
      <c r="BJ20" s="4"/>
      <c r="BK20" s="13"/>
      <c r="BM20" s="3"/>
      <c r="BN20" s="4"/>
      <c r="BO20" s="4"/>
      <c r="BP20" s="4"/>
      <c r="BQ20" s="4"/>
      <c r="BR20" s="64"/>
      <c r="BS20" s="65"/>
      <c r="BT20" s="64"/>
      <c r="BU20" s="65"/>
      <c r="BV20" s="64"/>
      <c r="BW20" s="65"/>
      <c r="BX20" s="64"/>
      <c r="BY20" s="65"/>
      <c r="BZ20" s="64"/>
      <c r="CA20" s="65"/>
      <c r="CB20" s="4"/>
      <c r="CC20" s="4"/>
      <c r="CD20" s="4"/>
      <c r="CE20" s="4"/>
      <c r="CF20" s="13"/>
      <c r="CY20" s="34"/>
    </row>
    <row r="21" spans="1:103" ht="18" customHeight="1" thickBot="1" x14ac:dyDescent="0.55000000000000004"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  <c r="AR21" s="11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3"/>
      <c r="BM21" s="11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3"/>
    </row>
    <row r="22" spans="1:103" ht="18" customHeight="1" x14ac:dyDescent="0.5">
      <c r="A22" s="18"/>
      <c r="B22" s="11"/>
      <c r="C22" s="32"/>
      <c r="D22" s="32"/>
      <c r="E22" s="80" t="s">
        <v>87</v>
      </c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2"/>
      <c r="S22" s="32"/>
      <c r="T22" s="32"/>
      <c r="U22" s="13"/>
      <c r="W22" s="11"/>
      <c r="X22" s="32"/>
      <c r="Y22" s="32"/>
      <c r="Z22" s="80" t="s">
        <v>86</v>
      </c>
      <c r="AA22" s="81"/>
      <c r="AB22" s="81"/>
      <c r="AC22" s="81"/>
      <c r="AD22" s="81"/>
      <c r="AE22" s="81"/>
      <c r="AF22" s="81"/>
      <c r="AG22" s="81"/>
      <c r="AH22" s="81"/>
      <c r="AI22" s="81"/>
      <c r="AJ22" s="81"/>
      <c r="AK22" s="81"/>
      <c r="AL22" s="81"/>
      <c r="AM22" s="82"/>
      <c r="AN22" s="32"/>
      <c r="AO22" s="32"/>
      <c r="AP22" s="13"/>
      <c r="AR22" s="11"/>
      <c r="AS22" s="32"/>
      <c r="AT22" s="32"/>
      <c r="AU22" s="80" t="s">
        <v>87</v>
      </c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2"/>
      <c r="BI22" s="32"/>
      <c r="BJ22" s="32"/>
      <c r="BK22" s="13"/>
      <c r="BM22" s="11"/>
      <c r="BN22" s="32"/>
      <c r="BO22" s="32"/>
      <c r="BP22" s="80" t="s">
        <v>88</v>
      </c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2"/>
      <c r="CD22" s="32"/>
      <c r="CE22" s="32"/>
      <c r="CF22" s="13"/>
    </row>
    <row r="23" spans="1:103" ht="18" customHeight="1" thickBot="1" x14ac:dyDescent="0.55000000000000004">
      <c r="A23" s="18"/>
      <c r="B23" s="11"/>
      <c r="C23" s="32"/>
      <c r="D23" s="32"/>
      <c r="E23" s="83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5"/>
      <c r="S23" s="32"/>
      <c r="T23" s="32"/>
      <c r="U23" s="13"/>
      <c r="W23" s="11"/>
      <c r="X23" s="32"/>
      <c r="Y23" s="32"/>
      <c r="Z23" s="83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5"/>
      <c r="AN23" s="32"/>
      <c r="AO23" s="32"/>
      <c r="AP23" s="13"/>
      <c r="AR23" s="11"/>
      <c r="AS23" s="32"/>
      <c r="AT23" s="32"/>
      <c r="AU23" s="83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5"/>
      <c r="BI23" s="32"/>
      <c r="BJ23" s="32"/>
      <c r="BK23" s="13"/>
      <c r="BM23" s="11"/>
      <c r="BN23" s="32"/>
      <c r="BO23" s="32"/>
      <c r="BP23" s="83"/>
      <c r="BQ23" s="84"/>
      <c r="BR23" s="84"/>
      <c r="BS23" s="84"/>
      <c r="BT23" s="84"/>
      <c r="BU23" s="84"/>
      <c r="BV23" s="84"/>
      <c r="BW23" s="84"/>
      <c r="BX23" s="84"/>
      <c r="BY23" s="84"/>
      <c r="BZ23" s="84"/>
      <c r="CA23" s="84"/>
      <c r="CB23" s="84"/>
      <c r="CC23" s="85"/>
      <c r="CD23" s="32"/>
      <c r="CE23" s="32"/>
      <c r="CF23" s="13"/>
    </row>
    <row r="24" spans="1:103" ht="18" customHeight="1" thickBot="1" x14ac:dyDescent="0.55000000000000004">
      <c r="A24" s="18"/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6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  <c r="AR24" s="14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6"/>
      <c r="BM24" s="14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6"/>
    </row>
    <row r="25" spans="1:103" ht="18" customHeight="1" x14ac:dyDescent="0.5">
      <c r="A25" s="18"/>
    </row>
    <row r="26" spans="1:103" ht="18" customHeight="1" x14ac:dyDescent="0.5">
      <c r="A26" s="18"/>
    </row>
    <row r="27" spans="1:103" ht="18" customHeight="1" x14ac:dyDescent="0.5">
      <c r="A27" s="18"/>
      <c r="AB27" s="34"/>
      <c r="AE27" s="34"/>
    </row>
    <row r="28" spans="1:103" ht="18" customHeight="1" x14ac:dyDescent="0.5">
      <c r="A28" s="18"/>
    </row>
    <row r="29" spans="1:103" ht="18" customHeight="1" x14ac:dyDescent="0.5">
      <c r="A29" s="18"/>
    </row>
    <row r="30" spans="1:103" ht="18" customHeight="1" x14ac:dyDescent="0.5">
      <c r="A30" s="18"/>
    </row>
    <row r="31" spans="1:103" ht="18" customHeight="1" x14ac:dyDescent="0.5">
      <c r="A31" s="18"/>
    </row>
    <row r="32" spans="1:103" ht="18" customHeight="1" x14ac:dyDescent="0.5">
      <c r="A32" s="18"/>
    </row>
    <row r="33" spans="1:1" ht="18" customHeight="1" x14ac:dyDescent="0.5">
      <c r="A33" s="18"/>
    </row>
    <row r="34" spans="1:1" ht="18" customHeight="1" x14ac:dyDescent="0.5">
      <c r="A34" s="18"/>
    </row>
    <row r="35" spans="1:1" ht="18" customHeight="1" x14ac:dyDescent="0.5">
      <c r="A35" s="18"/>
    </row>
    <row r="36" spans="1:1" ht="18" customHeight="1" x14ac:dyDescent="0.5">
      <c r="A36" s="18"/>
    </row>
    <row r="37" spans="1:1" ht="18" customHeight="1" x14ac:dyDescent="0.5">
      <c r="A37" s="18"/>
    </row>
    <row r="38" spans="1:1" ht="18" customHeight="1" x14ac:dyDescent="0.5">
      <c r="A38" s="18"/>
    </row>
    <row r="41" spans="1:1" ht="18" customHeight="1" x14ac:dyDescent="0.5">
      <c r="A41" s="18"/>
    </row>
    <row r="42" spans="1:1" ht="18" customHeight="1" x14ac:dyDescent="0.5">
      <c r="A42" s="18"/>
    </row>
    <row r="43" spans="1:1" ht="18" customHeight="1" x14ac:dyDescent="0.5">
      <c r="A43" s="18"/>
    </row>
    <row r="44" spans="1:1" ht="18" customHeight="1" x14ac:dyDescent="0.5">
      <c r="A44" s="18"/>
    </row>
    <row r="45" spans="1:1" ht="18" customHeight="1" x14ac:dyDescent="0.5">
      <c r="A45" s="18"/>
    </row>
    <row r="46" spans="1:1" ht="18" customHeight="1" x14ac:dyDescent="0.5">
      <c r="A46" s="18"/>
    </row>
    <row r="47" spans="1:1" ht="18" customHeight="1" x14ac:dyDescent="0.5">
      <c r="A47" s="18"/>
    </row>
    <row r="48" spans="1:1" ht="18" customHeight="1" x14ac:dyDescent="0.5">
      <c r="A48" s="18"/>
    </row>
    <row r="49" spans="1:1" ht="18" customHeight="1" x14ac:dyDescent="0.5">
      <c r="A49" s="18"/>
    </row>
    <row r="50" spans="1:1" ht="18" customHeight="1" x14ac:dyDescent="0.5">
      <c r="A50" s="18"/>
    </row>
    <row r="51" spans="1:1" ht="18" customHeight="1" x14ac:dyDescent="0.5">
      <c r="A51" s="18"/>
    </row>
    <row r="52" spans="1:1" ht="18" customHeight="1" x14ac:dyDescent="0.5">
      <c r="A52" s="18"/>
    </row>
    <row r="53" spans="1:1" ht="18" customHeight="1" x14ac:dyDescent="0.5">
      <c r="A53" s="18"/>
    </row>
    <row r="54" spans="1:1" ht="18" customHeight="1" x14ac:dyDescent="0.5">
      <c r="A54" s="18"/>
    </row>
    <row r="55" spans="1:1" ht="18" customHeight="1" x14ac:dyDescent="0.5">
      <c r="A55" s="18"/>
    </row>
    <row r="56" spans="1:1" ht="18" customHeight="1" x14ac:dyDescent="0.5">
      <c r="A56" s="18"/>
    </row>
    <row r="57" spans="1:1" ht="18" customHeight="1" x14ac:dyDescent="0.5">
      <c r="A57" s="18"/>
    </row>
    <row r="58" spans="1:1" ht="18" customHeight="1" x14ac:dyDescent="0.5">
      <c r="A58" s="18"/>
    </row>
    <row r="62" spans="1:1" ht="18" customHeight="1" x14ac:dyDescent="0.5">
      <c r="A62" s="18"/>
    </row>
    <row r="63" spans="1:1" ht="18" customHeight="1" x14ac:dyDescent="0.5">
      <c r="A63" s="18"/>
    </row>
    <row r="64" spans="1:1" ht="18" customHeight="1" x14ac:dyDescent="0.5">
      <c r="A64" s="18"/>
    </row>
    <row r="65" spans="1:1" ht="18" customHeight="1" x14ac:dyDescent="0.5">
      <c r="A65" s="18"/>
    </row>
    <row r="66" spans="1:1" ht="18" customHeight="1" x14ac:dyDescent="0.5">
      <c r="A66" s="18"/>
    </row>
    <row r="67" spans="1:1" ht="18" customHeight="1" x14ac:dyDescent="0.5">
      <c r="A67" s="18"/>
    </row>
    <row r="68" spans="1:1" ht="18" customHeight="1" x14ac:dyDescent="0.5">
      <c r="A68" s="18"/>
    </row>
    <row r="69" spans="1:1" ht="18" customHeight="1" x14ac:dyDescent="0.5">
      <c r="A69" s="18"/>
    </row>
    <row r="70" spans="1:1" ht="18" customHeight="1" x14ac:dyDescent="0.5">
      <c r="A70" s="18"/>
    </row>
    <row r="71" spans="1:1" ht="18" customHeight="1" x14ac:dyDescent="0.5">
      <c r="A71" s="18"/>
    </row>
    <row r="72" spans="1:1" ht="18" customHeight="1" x14ac:dyDescent="0.5">
      <c r="A72" s="18"/>
    </row>
    <row r="73" spans="1:1" ht="18" customHeight="1" x14ac:dyDescent="0.5">
      <c r="A73" s="18"/>
    </row>
    <row r="74" spans="1:1" ht="18" customHeight="1" x14ac:dyDescent="0.5">
      <c r="A74" s="18"/>
    </row>
    <row r="75" spans="1:1" ht="18" customHeight="1" x14ac:dyDescent="0.5">
      <c r="A75" s="18"/>
    </row>
    <row r="76" spans="1:1" ht="18" customHeight="1" x14ac:dyDescent="0.5">
      <c r="A76" s="18"/>
    </row>
    <row r="77" spans="1:1" ht="18" customHeight="1" x14ac:dyDescent="0.5">
      <c r="A77" s="18"/>
    </row>
    <row r="78" spans="1:1" ht="18" customHeight="1" x14ac:dyDescent="0.5">
      <c r="A78" s="18"/>
    </row>
  </sheetData>
  <mergeCells count="248">
    <mergeCell ref="BY17:BZ18"/>
    <mergeCell ref="CA17:CB18"/>
    <mergeCell ref="BR19:BS20"/>
    <mergeCell ref="BT19:BU20"/>
    <mergeCell ref="BV19:BW20"/>
    <mergeCell ref="BX19:BY20"/>
    <mergeCell ref="BZ19:CA20"/>
    <mergeCell ref="BP22:CC23"/>
    <mergeCell ref="BX11:BY12"/>
    <mergeCell ref="BZ11:CA12"/>
    <mergeCell ref="CB11:CC12"/>
    <mergeCell ref="BP15:BQ16"/>
    <mergeCell ref="BR15:BS16"/>
    <mergeCell ref="BT15:BU16"/>
    <mergeCell ref="BV15:BW16"/>
    <mergeCell ref="BX15:BY16"/>
    <mergeCell ref="BZ15:CA16"/>
    <mergeCell ref="CB15:CC16"/>
    <mergeCell ref="BQ17:BR18"/>
    <mergeCell ref="BS17:BT18"/>
    <mergeCell ref="BU17:BV18"/>
    <mergeCell ref="BW17:BX18"/>
    <mergeCell ref="AU22:BH23"/>
    <mergeCell ref="BR3:BS4"/>
    <mergeCell ref="BT3:BU4"/>
    <mergeCell ref="BV3:BW4"/>
    <mergeCell ref="BX3:BY4"/>
    <mergeCell ref="BZ3:CA4"/>
    <mergeCell ref="BQ5:BR6"/>
    <mergeCell ref="BS5:BT6"/>
    <mergeCell ref="BU5:BV6"/>
    <mergeCell ref="BW5:BX6"/>
    <mergeCell ref="BY5:BZ6"/>
    <mergeCell ref="CA5:CB6"/>
    <mergeCell ref="BP7:BQ8"/>
    <mergeCell ref="BR7:BS8"/>
    <mergeCell ref="BT7:BU8"/>
    <mergeCell ref="BV7:BW8"/>
    <mergeCell ref="BX7:BY8"/>
    <mergeCell ref="BZ7:CA8"/>
    <mergeCell ref="CB7:CC8"/>
    <mergeCell ref="BO9:BP10"/>
    <mergeCell ref="BQ9:BR10"/>
    <mergeCell ref="BS9:BT10"/>
    <mergeCell ref="BU9:BV10"/>
    <mergeCell ref="BW9:BX10"/>
    <mergeCell ref="BY9:BZ10"/>
    <mergeCell ref="CA9:CB10"/>
    <mergeCell ref="CC9:CD10"/>
    <mergeCell ref="BN11:BO12"/>
    <mergeCell ref="BP11:BQ12"/>
    <mergeCell ref="BR11:BS12"/>
    <mergeCell ref="BT11:BU12"/>
    <mergeCell ref="BV11:BW12"/>
    <mergeCell ref="AT13:AU14"/>
    <mergeCell ref="AV13:AW14"/>
    <mergeCell ref="AX13:AY14"/>
    <mergeCell ref="AZ13:BA14"/>
    <mergeCell ref="BB13:BC14"/>
    <mergeCell ref="BH13:BI14"/>
    <mergeCell ref="BI11:BJ12"/>
    <mergeCell ref="CD11:CE12"/>
    <mergeCell ref="BO13:BP14"/>
    <mergeCell ref="BQ13:BR14"/>
    <mergeCell ref="BS13:BT14"/>
    <mergeCell ref="BU13:BV14"/>
    <mergeCell ref="BW13:BX14"/>
    <mergeCell ref="BY13:BZ14"/>
    <mergeCell ref="CA13:CB14"/>
    <mergeCell ref="CC13:CD14"/>
    <mergeCell ref="AU15:AV16"/>
    <mergeCell ref="AW15:AX16"/>
    <mergeCell ref="AY15:AZ16"/>
    <mergeCell ref="BA15:BB16"/>
    <mergeCell ref="BC15:BD16"/>
    <mergeCell ref="AV17:AW18"/>
    <mergeCell ref="AX17:AY18"/>
    <mergeCell ref="AZ17:BA18"/>
    <mergeCell ref="BB17:BC18"/>
    <mergeCell ref="BD17:BE18"/>
    <mergeCell ref="BE15:BF16"/>
    <mergeCell ref="BF17:BG18"/>
    <mergeCell ref="BG15:BH16"/>
    <mergeCell ref="AW19:AX20"/>
    <mergeCell ref="AY19:AZ20"/>
    <mergeCell ref="BA19:BB20"/>
    <mergeCell ref="BC19:BD20"/>
    <mergeCell ref="BE19:BF20"/>
    <mergeCell ref="AA17:AB18"/>
    <mergeCell ref="AC17:AD18"/>
    <mergeCell ref="AE17:AF18"/>
    <mergeCell ref="AG17:AH18"/>
    <mergeCell ref="AI17:AJ18"/>
    <mergeCell ref="AK17:AL18"/>
    <mergeCell ref="AB19:AC20"/>
    <mergeCell ref="AD19:AE20"/>
    <mergeCell ref="AF19:AG20"/>
    <mergeCell ref="AH19:AI20"/>
    <mergeCell ref="AJ19:AK20"/>
    <mergeCell ref="Z22:AM23"/>
    <mergeCell ref="AW3:AX4"/>
    <mergeCell ref="AY3:AZ4"/>
    <mergeCell ref="BA3:BB4"/>
    <mergeCell ref="BC3:BD4"/>
    <mergeCell ref="AV5:AW6"/>
    <mergeCell ref="AX5:AY6"/>
    <mergeCell ref="AZ5:BA6"/>
    <mergeCell ref="BB5:BC6"/>
    <mergeCell ref="AU7:AV8"/>
    <mergeCell ref="AW7:AX8"/>
    <mergeCell ref="AY7:AZ8"/>
    <mergeCell ref="BA7:BB8"/>
    <mergeCell ref="AT9:AU10"/>
    <mergeCell ref="AV9:AW10"/>
    <mergeCell ref="AX9:AY10"/>
    <mergeCell ref="AZ9:BA10"/>
    <mergeCell ref="AS11:AT12"/>
    <mergeCell ref="AU11:AV12"/>
    <mergeCell ref="AW11:AX12"/>
    <mergeCell ref="AY11:AZ12"/>
    <mergeCell ref="AI9:AJ10"/>
    <mergeCell ref="Z15:AA16"/>
    <mergeCell ref="AB15:AC16"/>
    <mergeCell ref="AJ15:AK16"/>
    <mergeCell ref="AL15:AM16"/>
    <mergeCell ref="J17:K18"/>
    <mergeCell ref="L17:M18"/>
    <mergeCell ref="N17:O18"/>
    <mergeCell ref="P17:Q18"/>
    <mergeCell ref="X11:Y12"/>
    <mergeCell ref="Z11:AA12"/>
    <mergeCell ref="AB11:AC12"/>
    <mergeCell ref="AD11:AE12"/>
    <mergeCell ref="AF11:AG12"/>
    <mergeCell ref="AH11:AI12"/>
    <mergeCell ref="AJ11:AK12"/>
    <mergeCell ref="Y13:Z14"/>
    <mergeCell ref="AA13:AB14"/>
    <mergeCell ref="AC13:AD14"/>
    <mergeCell ref="AE13:AF14"/>
    <mergeCell ref="AG13:AH14"/>
    <mergeCell ref="AI13:AJ14"/>
    <mergeCell ref="AK13:AL14"/>
    <mergeCell ref="R13:S14"/>
    <mergeCell ref="K15:L16"/>
    <mergeCell ref="M15:N16"/>
    <mergeCell ref="O15:P16"/>
    <mergeCell ref="G19:H20"/>
    <mergeCell ref="I19:J20"/>
    <mergeCell ref="K19:L20"/>
    <mergeCell ref="M19:N20"/>
    <mergeCell ref="O19:P20"/>
    <mergeCell ref="E22:R23"/>
    <mergeCell ref="AB3:AC4"/>
    <mergeCell ref="AD3:AE4"/>
    <mergeCell ref="AF3:AG4"/>
    <mergeCell ref="Y9:Z10"/>
    <mergeCell ref="AA9:AB10"/>
    <mergeCell ref="AC9:AD10"/>
    <mergeCell ref="AE9:AF10"/>
    <mergeCell ref="AG9:AH10"/>
    <mergeCell ref="M11:N12"/>
    <mergeCell ref="O11:P12"/>
    <mergeCell ref="Q11:R12"/>
    <mergeCell ref="S11:T12"/>
    <mergeCell ref="D13:E14"/>
    <mergeCell ref="F13:G14"/>
    <mergeCell ref="H13:I14"/>
    <mergeCell ref="J13:K14"/>
    <mergeCell ref="L13:M14"/>
    <mergeCell ref="N13:O14"/>
    <mergeCell ref="AJ3:AK4"/>
    <mergeCell ref="AA5:AB6"/>
    <mergeCell ref="AC5:AD6"/>
    <mergeCell ref="AE5:AF6"/>
    <mergeCell ref="AG5:AH6"/>
    <mergeCell ref="AI5:AJ6"/>
    <mergeCell ref="AK5:AL6"/>
    <mergeCell ref="Z7:AA8"/>
    <mergeCell ref="AB7:AC8"/>
    <mergeCell ref="AD7:AE8"/>
    <mergeCell ref="AF7:AG8"/>
    <mergeCell ref="AH7:AI8"/>
    <mergeCell ref="AJ7:AK8"/>
    <mergeCell ref="Q15:R16"/>
    <mergeCell ref="AH3:AI4"/>
    <mergeCell ref="AD15:AE16"/>
    <mergeCell ref="AF15:AG16"/>
    <mergeCell ref="AH15:AI16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  <mergeCell ref="P5:Q6"/>
    <mergeCell ref="C11:D12"/>
    <mergeCell ref="E11:F12"/>
    <mergeCell ref="G11:H12"/>
    <mergeCell ref="I11:J12"/>
    <mergeCell ref="K11:L12"/>
    <mergeCell ref="AL7:AM8"/>
    <mergeCell ref="BE3:BF4"/>
    <mergeCell ref="BD5:BE6"/>
    <mergeCell ref="BF5:BG6"/>
    <mergeCell ref="BC7:BD8"/>
    <mergeCell ref="BE7:BF8"/>
    <mergeCell ref="BG7:BH8"/>
    <mergeCell ref="E7:F8"/>
    <mergeCell ref="G7:H8"/>
    <mergeCell ref="I7:J8"/>
    <mergeCell ref="K7:L8"/>
    <mergeCell ref="M7:N8"/>
    <mergeCell ref="O7:P8"/>
    <mergeCell ref="Q7:R8"/>
    <mergeCell ref="D9:E10"/>
    <mergeCell ref="F9:G10"/>
    <mergeCell ref="H9:I10"/>
    <mergeCell ref="J9:K10"/>
    <mergeCell ref="L9:M10"/>
    <mergeCell ref="F17:G18"/>
    <mergeCell ref="H17:I18"/>
    <mergeCell ref="AM13:AN14"/>
    <mergeCell ref="AL11:AM12"/>
    <mergeCell ref="AN11:AO12"/>
    <mergeCell ref="AK9:AL10"/>
    <mergeCell ref="AM9:AN10"/>
    <mergeCell ref="BD13:BE14"/>
    <mergeCell ref="BF13:BG14"/>
    <mergeCell ref="BC11:BD12"/>
    <mergeCell ref="BE11:BF12"/>
    <mergeCell ref="BG11:BH12"/>
    <mergeCell ref="BB9:BC10"/>
    <mergeCell ref="BD9:BE10"/>
    <mergeCell ref="BF9:BG10"/>
    <mergeCell ref="BH9:BI10"/>
    <mergeCell ref="BA11:BB12"/>
    <mergeCell ref="N9:O10"/>
    <mergeCell ref="P9:Q10"/>
    <mergeCell ref="R9:S10"/>
    <mergeCell ref="P13:Q14"/>
    <mergeCell ref="E15:F16"/>
    <mergeCell ref="G15:H16"/>
    <mergeCell ref="I15:J16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G145"/>
  <sheetViews>
    <sheetView tabSelected="1" topLeftCell="A79" zoomScale="55" zoomScaleNormal="55" workbookViewId="0">
      <selection activeCell="BA138" sqref="BA138"/>
    </sheetView>
  </sheetViews>
  <sheetFormatPr defaultColWidth="2.64453125" defaultRowHeight="18" customHeight="1" x14ac:dyDescent="0.5"/>
  <sheetData>
    <row r="1" spans="1:136" ht="18" customHeight="1" thickBot="1" x14ac:dyDescent="0.55000000000000004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20"/>
    </row>
    <row r="2" spans="1:136" ht="18" customHeight="1" x14ac:dyDescent="0.5">
      <c r="A2" s="18"/>
      <c r="B2" s="106">
        <v>1</v>
      </c>
      <c r="C2" s="10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R2" s="20"/>
      <c r="S2" s="106">
        <v>1</v>
      </c>
      <c r="T2" s="10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4"/>
      <c r="AJ2" s="106">
        <v>1</v>
      </c>
      <c r="AK2" s="10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4"/>
      <c r="BA2" s="106">
        <v>1</v>
      </c>
      <c r="BB2" s="10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4"/>
      <c r="BR2" s="102">
        <v>2</v>
      </c>
      <c r="BS2" s="10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4"/>
      <c r="CI2" s="102">
        <v>2</v>
      </c>
      <c r="CJ2" s="103"/>
      <c r="CK2" s="23"/>
      <c r="CL2" s="23"/>
      <c r="CM2" s="23"/>
      <c r="CN2" s="23"/>
      <c r="CO2" s="23"/>
      <c r="CP2" s="23"/>
      <c r="CQ2" s="23"/>
      <c r="CR2" s="23"/>
      <c r="CS2" s="23"/>
      <c r="CT2" s="23"/>
      <c r="CU2" s="23"/>
      <c r="CV2" s="23"/>
      <c r="CW2" s="23"/>
      <c r="CX2" s="24"/>
      <c r="CZ2" s="102">
        <v>2</v>
      </c>
      <c r="DA2" s="103"/>
      <c r="DB2" s="23"/>
      <c r="DC2" s="23"/>
      <c r="DD2" s="23"/>
      <c r="DE2" s="23"/>
      <c r="DF2" s="23"/>
      <c r="DG2" s="23"/>
      <c r="DH2" s="23"/>
      <c r="DI2" s="23"/>
      <c r="DJ2" s="23"/>
      <c r="DK2" s="23"/>
      <c r="DL2" s="23"/>
      <c r="DM2" s="23"/>
      <c r="DN2" s="23"/>
      <c r="DO2" s="24"/>
      <c r="DQ2" s="102">
        <v>2</v>
      </c>
      <c r="DR2" s="103"/>
      <c r="DS2" s="23"/>
      <c r="DT2" s="23"/>
      <c r="DU2" s="23"/>
      <c r="DV2" s="23"/>
      <c r="DW2" s="23"/>
      <c r="DX2" s="23"/>
      <c r="DY2" s="23"/>
      <c r="DZ2" s="23"/>
      <c r="EA2" s="23"/>
      <c r="EB2" s="23"/>
      <c r="EC2" s="23"/>
      <c r="ED2" s="23"/>
      <c r="EE2" s="23"/>
      <c r="EF2" s="24"/>
    </row>
    <row r="3" spans="1:136" ht="18" customHeight="1" thickBot="1" x14ac:dyDescent="0.55000000000000004">
      <c r="A3" s="18"/>
      <c r="B3" s="104"/>
      <c r="C3" s="105"/>
      <c r="D3" s="22"/>
      <c r="E3" s="22"/>
      <c r="F3" s="62"/>
      <c r="G3" s="63"/>
      <c r="H3" s="62"/>
      <c r="I3" s="63"/>
      <c r="J3" s="62"/>
      <c r="K3" s="63"/>
      <c r="L3" s="62"/>
      <c r="M3" s="63"/>
      <c r="N3" s="22"/>
      <c r="O3" s="22"/>
      <c r="P3" s="21"/>
      <c r="Q3" s="26"/>
      <c r="R3" s="20"/>
      <c r="S3" s="104"/>
      <c r="T3" s="105"/>
      <c r="U3" s="22"/>
      <c r="V3" s="22"/>
      <c r="W3" s="62"/>
      <c r="X3" s="63"/>
      <c r="Y3" s="62"/>
      <c r="Z3" s="63"/>
      <c r="AA3" s="62"/>
      <c r="AB3" s="63"/>
      <c r="AC3" s="62"/>
      <c r="AD3" s="63"/>
      <c r="AE3" s="22"/>
      <c r="AF3" s="22"/>
      <c r="AG3" s="21"/>
      <c r="AH3" s="26"/>
      <c r="AJ3" s="104"/>
      <c r="AK3" s="105"/>
      <c r="AL3" s="22"/>
      <c r="AM3" s="22"/>
      <c r="AN3" s="62"/>
      <c r="AO3" s="63"/>
      <c r="AP3" s="62"/>
      <c r="AQ3" s="63"/>
      <c r="AR3" s="62"/>
      <c r="AS3" s="63"/>
      <c r="AT3" s="62"/>
      <c r="AU3" s="63"/>
      <c r="AV3" s="22"/>
      <c r="AW3" s="22"/>
      <c r="AX3" s="21"/>
      <c r="AY3" s="26"/>
      <c r="BA3" s="104"/>
      <c r="BB3" s="105"/>
      <c r="BC3" s="22"/>
      <c r="BD3" s="22"/>
      <c r="BE3" s="62"/>
      <c r="BF3" s="63"/>
      <c r="BG3" s="62"/>
      <c r="BH3" s="63"/>
      <c r="BI3" s="62"/>
      <c r="BJ3" s="63"/>
      <c r="BK3" s="62"/>
      <c r="BL3" s="63"/>
      <c r="BM3" s="22"/>
      <c r="BN3" s="22"/>
      <c r="BO3" s="21"/>
      <c r="BP3" s="26"/>
      <c r="BR3" s="104"/>
      <c r="BS3" s="105"/>
      <c r="BT3" s="22"/>
      <c r="BU3" s="22"/>
      <c r="BV3" s="62"/>
      <c r="BW3" s="63"/>
      <c r="BX3" s="62"/>
      <c r="BY3" s="63"/>
      <c r="BZ3" s="62"/>
      <c r="CA3" s="63"/>
      <c r="CB3" s="62"/>
      <c r="CC3" s="63"/>
      <c r="CD3" s="22"/>
      <c r="CE3" s="22"/>
      <c r="CF3" s="21"/>
      <c r="CG3" s="26"/>
      <c r="CI3" s="104"/>
      <c r="CJ3" s="105"/>
      <c r="CK3" s="22"/>
      <c r="CL3" s="22"/>
      <c r="CM3" s="62"/>
      <c r="CN3" s="63"/>
      <c r="CO3" s="62"/>
      <c r="CP3" s="63"/>
      <c r="CQ3" s="62"/>
      <c r="CR3" s="63"/>
      <c r="CS3" s="62"/>
      <c r="CT3" s="63"/>
      <c r="CU3" s="22"/>
      <c r="CV3" s="22"/>
      <c r="CW3" s="21"/>
      <c r="CX3" s="26"/>
      <c r="CZ3" s="104"/>
      <c r="DA3" s="105"/>
      <c r="DB3" s="22"/>
      <c r="DC3" s="22"/>
      <c r="DD3" s="62"/>
      <c r="DE3" s="63"/>
      <c r="DF3" s="62"/>
      <c r="DG3" s="63"/>
      <c r="DH3" s="62"/>
      <c r="DI3" s="63"/>
      <c r="DJ3" s="62"/>
      <c r="DK3" s="63"/>
      <c r="DL3" s="22"/>
      <c r="DM3" s="22"/>
      <c r="DN3" s="21"/>
      <c r="DO3" s="26"/>
      <c r="DQ3" s="104"/>
      <c r="DR3" s="105"/>
      <c r="DS3" s="22"/>
      <c r="DT3" s="22"/>
      <c r="DU3" s="62"/>
      <c r="DV3" s="63"/>
      <c r="DW3" s="62"/>
      <c r="DX3" s="63"/>
      <c r="DY3" s="62"/>
      <c r="DZ3" s="63"/>
      <c r="EA3" s="62"/>
      <c r="EB3" s="63"/>
      <c r="EC3" s="22"/>
      <c r="ED3" s="22"/>
      <c r="EE3" s="21"/>
      <c r="EF3" s="26"/>
    </row>
    <row r="4" spans="1:136" ht="18" customHeight="1" x14ac:dyDescent="0.5">
      <c r="A4" s="18"/>
      <c r="B4" s="25"/>
      <c r="C4" s="21"/>
      <c r="D4" s="22"/>
      <c r="E4" s="22"/>
      <c r="F4" s="64"/>
      <c r="G4" s="65"/>
      <c r="H4" s="64"/>
      <c r="I4" s="65"/>
      <c r="J4" s="64"/>
      <c r="K4" s="65"/>
      <c r="L4" s="64"/>
      <c r="M4" s="65"/>
      <c r="N4" s="22"/>
      <c r="O4" s="22"/>
      <c r="P4" s="21"/>
      <c r="Q4" s="26"/>
      <c r="R4" s="20"/>
      <c r="S4" s="25"/>
      <c r="T4" s="21"/>
      <c r="U4" s="22"/>
      <c r="V4" s="22"/>
      <c r="W4" s="64"/>
      <c r="X4" s="65"/>
      <c r="Y4" s="64"/>
      <c r="Z4" s="65"/>
      <c r="AA4" s="64"/>
      <c r="AB4" s="65"/>
      <c r="AC4" s="64"/>
      <c r="AD4" s="65"/>
      <c r="AE4" s="22"/>
      <c r="AF4" s="22"/>
      <c r="AG4" s="21"/>
      <c r="AH4" s="26"/>
      <c r="AJ4" s="25"/>
      <c r="AK4" s="21"/>
      <c r="AL4" s="22"/>
      <c r="AM4" s="22"/>
      <c r="AN4" s="64"/>
      <c r="AO4" s="65"/>
      <c r="AP4" s="64"/>
      <c r="AQ4" s="65"/>
      <c r="AR4" s="64"/>
      <c r="AS4" s="65"/>
      <c r="AT4" s="64"/>
      <c r="AU4" s="65"/>
      <c r="AV4" s="22"/>
      <c r="AW4" s="22"/>
      <c r="AX4" s="21"/>
      <c r="AY4" s="26"/>
      <c r="BA4" s="25"/>
      <c r="BB4" s="21"/>
      <c r="BC4" s="22"/>
      <c r="BD4" s="22"/>
      <c r="BE4" s="64"/>
      <c r="BF4" s="65"/>
      <c r="BG4" s="64"/>
      <c r="BH4" s="65"/>
      <c r="BI4" s="64"/>
      <c r="BJ4" s="65"/>
      <c r="BK4" s="64"/>
      <c r="BL4" s="65"/>
      <c r="BM4" s="22"/>
      <c r="BN4" s="22"/>
      <c r="BO4" s="21"/>
      <c r="BP4" s="26"/>
      <c r="BR4" s="25"/>
      <c r="BS4" s="21"/>
      <c r="BT4" s="22"/>
      <c r="BU4" s="22"/>
      <c r="BV4" s="64"/>
      <c r="BW4" s="65"/>
      <c r="BX4" s="64"/>
      <c r="BY4" s="65"/>
      <c r="BZ4" s="64"/>
      <c r="CA4" s="65"/>
      <c r="CB4" s="64"/>
      <c r="CC4" s="65"/>
      <c r="CD4" s="22"/>
      <c r="CE4" s="22"/>
      <c r="CF4" s="21"/>
      <c r="CG4" s="26"/>
      <c r="CI4" s="25"/>
      <c r="CJ4" s="21"/>
      <c r="CK4" s="22"/>
      <c r="CL4" s="22"/>
      <c r="CM4" s="64"/>
      <c r="CN4" s="65"/>
      <c r="CO4" s="64"/>
      <c r="CP4" s="65"/>
      <c r="CQ4" s="64"/>
      <c r="CR4" s="65"/>
      <c r="CS4" s="64"/>
      <c r="CT4" s="65"/>
      <c r="CU4" s="22"/>
      <c r="CV4" s="22"/>
      <c r="CW4" s="21"/>
      <c r="CX4" s="26"/>
      <c r="CZ4" s="25"/>
      <c r="DA4" s="21"/>
      <c r="DB4" s="22"/>
      <c r="DC4" s="22"/>
      <c r="DD4" s="64"/>
      <c r="DE4" s="65"/>
      <c r="DF4" s="64"/>
      <c r="DG4" s="65"/>
      <c r="DH4" s="64"/>
      <c r="DI4" s="65"/>
      <c r="DJ4" s="64"/>
      <c r="DK4" s="65"/>
      <c r="DL4" s="22"/>
      <c r="DM4" s="22"/>
      <c r="DN4" s="21"/>
      <c r="DO4" s="26"/>
      <c r="DQ4" s="25"/>
      <c r="DR4" s="21"/>
      <c r="DS4" s="22"/>
      <c r="DT4" s="22"/>
      <c r="DU4" s="64"/>
      <c r="DV4" s="65"/>
      <c r="DW4" s="64"/>
      <c r="DX4" s="65"/>
      <c r="DY4" s="64"/>
      <c r="DZ4" s="65"/>
      <c r="EA4" s="64"/>
      <c r="EB4" s="65"/>
      <c r="EC4" s="22"/>
      <c r="ED4" s="22"/>
      <c r="EE4" s="21"/>
      <c r="EF4" s="26"/>
    </row>
    <row r="5" spans="1:136" ht="18" customHeight="1" x14ac:dyDescent="0.5">
      <c r="A5" s="18"/>
      <c r="B5" s="25"/>
      <c r="C5" s="22"/>
      <c r="D5" s="22"/>
      <c r="E5" s="62"/>
      <c r="F5" s="63"/>
      <c r="G5" s="62"/>
      <c r="H5" s="63"/>
      <c r="I5" s="62"/>
      <c r="J5" s="63"/>
      <c r="K5" s="62"/>
      <c r="L5" s="63"/>
      <c r="M5" s="62"/>
      <c r="N5" s="63"/>
      <c r="O5" s="22"/>
      <c r="P5" s="22"/>
      <c r="Q5" s="26"/>
      <c r="R5" s="20"/>
      <c r="S5" s="25"/>
      <c r="T5" s="22"/>
      <c r="U5" s="22"/>
      <c r="V5" s="62"/>
      <c r="W5" s="63"/>
      <c r="X5" s="62"/>
      <c r="Y5" s="63"/>
      <c r="Z5" s="62"/>
      <c r="AA5" s="63"/>
      <c r="AB5" s="62"/>
      <c r="AC5" s="63"/>
      <c r="AD5" s="62"/>
      <c r="AE5" s="63"/>
      <c r="AF5" s="22"/>
      <c r="AG5" s="22"/>
      <c r="AH5" s="26"/>
      <c r="AJ5" s="25"/>
      <c r="AK5" s="22"/>
      <c r="AL5" s="22"/>
      <c r="AM5" s="62"/>
      <c r="AN5" s="63"/>
      <c r="AO5" s="62"/>
      <c r="AP5" s="63"/>
      <c r="AQ5" s="62"/>
      <c r="AR5" s="63"/>
      <c r="AS5" s="66">
        <v>1</v>
      </c>
      <c r="AT5" s="63"/>
      <c r="AU5" s="62"/>
      <c r="AV5" s="63"/>
      <c r="AW5" s="22"/>
      <c r="AX5" s="22"/>
      <c r="AY5" s="26"/>
      <c r="BA5" s="25"/>
      <c r="BB5" s="22"/>
      <c r="BC5" s="22"/>
      <c r="BD5" s="62"/>
      <c r="BE5" s="63"/>
      <c r="BF5" s="62"/>
      <c r="BG5" s="63"/>
      <c r="BH5" s="62"/>
      <c r="BI5" s="63"/>
      <c r="BJ5" s="62"/>
      <c r="BK5" s="63"/>
      <c r="BL5" s="62"/>
      <c r="BM5" s="63"/>
      <c r="BN5" s="22"/>
      <c r="BO5" s="22"/>
      <c r="BP5" s="26"/>
      <c r="BR5" s="25"/>
      <c r="BS5" s="22"/>
      <c r="BT5" s="22"/>
      <c r="BU5" s="62"/>
      <c r="BV5" s="63"/>
      <c r="BW5" s="62"/>
      <c r="BX5" s="63"/>
      <c r="BY5" s="62"/>
      <c r="BZ5" s="63"/>
      <c r="CA5" s="62"/>
      <c r="CB5" s="63"/>
      <c r="CC5" s="62"/>
      <c r="CD5" s="63"/>
      <c r="CE5" s="22"/>
      <c r="CF5" s="22"/>
      <c r="CG5" s="26"/>
      <c r="CI5" s="25"/>
      <c r="CJ5" s="22"/>
      <c r="CK5" s="22"/>
      <c r="CL5" s="62"/>
      <c r="CM5" s="63"/>
      <c r="CN5" s="62"/>
      <c r="CO5" s="63"/>
      <c r="CP5" s="62"/>
      <c r="CQ5" s="63"/>
      <c r="CR5" s="62"/>
      <c r="CS5" s="63"/>
      <c r="CT5" s="62"/>
      <c r="CU5" s="63"/>
      <c r="CV5" s="22"/>
      <c r="CW5" s="22"/>
      <c r="CX5" s="26"/>
      <c r="CZ5" s="25"/>
      <c r="DA5" s="22"/>
      <c r="DB5" s="22"/>
      <c r="DC5" s="62"/>
      <c r="DD5" s="63"/>
      <c r="DE5" s="62"/>
      <c r="DF5" s="63"/>
      <c r="DG5" s="62"/>
      <c r="DH5" s="63"/>
      <c r="DI5" s="62"/>
      <c r="DJ5" s="63"/>
      <c r="DK5" s="62"/>
      <c r="DL5" s="63"/>
      <c r="DM5" s="22"/>
      <c r="DN5" s="22"/>
      <c r="DO5" s="26"/>
      <c r="DQ5" s="25"/>
      <c r="DR5" s="22"/>
      <c r="DS5" s="22"/>
      <c r="DT5" s="62"/>
      <c r="DU5" s="63"/>
      <c r="DV5" s="62"/>
      <c r="DW5" s="63"/>
      <c r="DX5" s="62"/>
      <c r="DY5" s="63"/>
      <c r="DZ5" s="62"/>
      <c r="EA5" s="63"/>
      <c r="EB5" s="62"/>
      <c r="EC5" s="63"/>
      <c r="ED5" s="22"/>
      <c r="EE5" s="22"/>
      <c r="EF5" s="26"/>
    </row>
    <row r="6" spans="1:136" ht="18" customHeight="1" x14ac:dyDescent="0.5">
      <c r="A6" s="18"/>
      <c r="B6" s="25"/>
      <c r="C6" s="22"/>
      <c r="D6" s="22"/>
      <c r="E6" s="64"/>
      <c r="F6" s="65"/>
      <c r="G6" s="64"/>
      <c r="H6" s="65"/>
      <c r="I6" s="64"/>
      <c r="J6" s="65"/>
      <c r="K6" s="64"/>
      <c r="L6" s="65"/>
      <c r="M6" s="64"/>
      <c r="N6" s="65"/>
      <c r="O6" s="22"/>
      <c r="P6" s="22"/>
      <c r="Q6" s="26"/>
      <c r="R6" s="20"/>
      <c r="S6" s="25"/>
      <c r="T6" s="22"/>
      <c r="U6" s="22"/>
      <c r="V6" s="64"/>
      <c r="W6" s="65"/>
      <c r="X6" s="64"/>
      <c r="Y6" s="65"/>
      <c r="Z6" s="64"/>
      <c r="AA6" s="65"/>
      <c r="AB6" s="64"/>
      <c r="AC6" s="65"/>
      <c r="AD6" s="64"/>
      <c r="AE6" s="65"/>
      <c r="AF6" s="22"/>
      <c r="AG6" s="22"/>
      <c r="AH6" s="26"/>
      <c r="AJ6" s="25"/>
      <c r="AK6" s="22"/>
      <c r="AL6" s="22"/>
      <c r="AM6" s="64"/>
      <c r="AN6" s="65"/>
      <c r="AO6" s="64"/>
      <c r="AP6" s="65"/>
      <c r="AQ6" s="64"/>
      <c r="AR6" s="65"/>
      <c r="AS6" s="64"/>
      <c r="AT6" s="65"/>
      <c r="AU6" s="64"/>
      <c r="AV6" s="65"/>
      <c r="AW6" s="22"/>
      <c r="AX6" s="22"/>
      <c r="AY6" s="26"/>
      <c r="BA6" s="25"/>
      <c r="BB6" s="22"/>
      <c r="BC6" s="22"/>
      <c r="BD6" s="64"/>
      <c r="BE6" s="65"/>
      <c r="BF6" s="64"/>
      <c r="BG6" s="65"/>
      <c r="BH6" s="64"/>
      <c r="BI6" s="65"/>
      <c r="BJ6" s="64"/>
      <c r="BK6" s="65"/>
      <c r="BL6" s="64"/>
      <c r="BM6" s="65"/>
      <c r="BN6" s="22"/>
      <c r="BO6" s="22"/>
      <c r="BP6" s="26"/>
      <c r="BR6" s="25"/>
      <c r="BS6" s="22"/>
      <c r="BT6" s="22"/>
      <c r="BU6" s="64"/>
      <c r="BV6" s="65"/>
      <c r="BW6" s="64"/>
      <c r="BX6" s="65"/>
      <c r="BY6" s="64"/>
      <c r="BZ6" s="65"/>
      <c r="CA6" s="64"/>
      <c r="CB6" s="65"/>
      <c r="CC6" s="64"/>
      <c r="CD6" s="65"/>
      <c r="CE6" s="22"/>
      <c r="CF6" s="22"/>
      <c r="CG6" s="26"/>
      <c r="CI6" s="25"/>
      <c r="CJ6" s="22"/>
      <c r="CK6" s="22"/>
      <c r="CL6" s="64"/>
      <c r="CM6" s="65"/>
      <c r="CN6" s="64"/>
      <c r="CO6" s="65"/>
      <c r="CP6" s="64"/>
      <c r="CQ6" s="65"/>
      <c r="CR6" s="64"/>
      <c r="CS6" s="65"/>
      <c r="CT6" s="64"/>
      <c r="CU6" s="65"/>
      <c r="CV6" s="22"/>
      <c r="CW6" s="22"/>
      <c r="CX6" s="26"/>
      <c r="CZ6" s="25"/>
      <c r="DA6" s="22"/>
      <c r="DB6" s="22"/>
      <c r="DC6" s="64"/>
      <c r="DD6" s="65"/>
      <c r="DE6" s="64"/>
      <c r="DF6" s="65"/>
      <c r="DG6" s="64"/>
      <c r="DH6" s="65"/>
      <c r="DI6" s="64"/>
      <c r="DJ6" s="65"/>
      <c r="DK6" s="64"/>
      <c r="DL6" s="65"/>
      <c r="DM6" s="22"/>
      <c r="DN6" s="22"/>
      <c r="DO6" s="26"/>
      <c r="DQ6" s="25"/>
      <c r="DR6" s="22"/>
      <c r="DS6" s="22"/>
      <c r="DT6" s="64"/>
      <c r="DU6" s="65"/>
      <c r="DV6" s="64"/>
      <c r="DW6" s="65"/>
      <c r="DX6" s="64"/>
      <c r="DY6" s="65"/>
      <c r="DZ6" s="64"/>
      <c r="EA6" s="65"/>
      <c r="EB6" s="64"/>
      <c r="EC6" s="65"/>
      <c r="ED6" s="22"/>
      <c r="EE6" s="22"/>
      <c r="EF6" s="26"/>
    </row>
    <row r="7" spans="1:136" ht="18" customHeight="1" x14ac:dyDescent="0.5">
      <c r="A7" s="18"/>
      <c r="B7" s="25"/>
      <c r="C7" s="22"/>
      <c r="D7" s="62"/>
      <c r="E7" s="63"/>
      <c r="F7" s="62"/>
      <c r="G7" s="63"/>
      <c r="H7" s="62"/>
      <c r="I7" s="63"/>
      <c r="J7" s="62"/>
      <c r="K7" s="63"/>
      <c r="L7" s="62"/>
      <c r="M7" s="63"/>
      <c r="N7" s="62"/>
      <c r="O7" s="63"/>
      <c r="P7" s="22"/>
      <c r="Q7" s="26"/>
      <c r="R7" s="20"/>
      <c r="S7" s="25"/>
      <c r="T7" s="22"/>
      <c r="U7" s="62"/>
      <c r="V7" s="63"/>
      <c r="W7" s="62"/>
      <c r="X7" s="63"/>
      <c r="Y7" s="62"/>
      <c r="Z7" s="63"/>
      <c r="AA7" s="62"/>
      <c r="AB7" s="63"/>
      <c r="AC7" s="62"/>
      <c r="AD7" s="63"/>
      <c r="AE7" s="62"/>
      <c r="AF7" s="63"/>
      <c r="AG7" s="22"/>
      <c r="AH7" s="26"/>
      <c r="AJ7" s="25"/>
      <c r="AK7" s="22"/>
      <c r="AL7" s="62"/>
      <c r="AM7" s="63"/>
      <c r="AN7" s="62"/>
      <c r="AO7" s="63"/>
      <c r="AP7" s="62"/>
      <c r="AQ7" s="63"/>
      <c r="AR7" s="66">
        <v>1</v>
      </c>
      <c r="AS7" s="63"/>
      <c r="AT7" s="62"/>
      <c r="AU7" s="63"/>
      <c r="AV7" s="62"/>
      <c r="AW7" s="63"/>
      <c r="AX7" s="22"/>
      <c r="AY7" s="26"/>
      <c r="BA7" s="25"/>
      <c r="BB7" s="22"/>
      <c r="BC7" s="62"/>
      <c r="BD7" s="63"/>
      <c r="BE7" s="62"/>
      <c r="BF7" s="63"/>
      <c r="BG7" s="66">
        <v>1</v>
      </c>
      <c r="BH7" s="63"/>
      <c r="BI7" s="62"/>
      <c r="BJ7" s="63"/>
      <c r="BK7" s="62"/>
      <c r="BL7" s="63"/>
      <c r="BM7" s="62"/>
      <c r="BN7" s="63"/>
      <c r="BO7" s="22"/>
      <c r="BP7" s="26"/>
      <c r="BR7" s="25"/>
      <c r="BS7" s="22"/>
      <c r="BT7" s="62"/>
      <c r="BU7" s="63"/>
      <c r="BV7" s="62"/>
      <c r="BW7" s="63"/>
      <c r="BX7" s="62"/>
      <c r="BY7" s="63"/>
      <c r="BZ7" s="70">
        <v>5</v>
      </c>
      <c r="CA7" s="63"/>
      <c r="CB7" s="62"/>
      <c r="CC7" s="63"/>
      <c r="CD7" s="62"/>
      <c r="CE7" s="63"/>
      <c r="CF7" s="22"/>
      <c r="CG7" s="26"/>
      <c r="CI7" s="25"/>
      <c r="CJ7" s="22"/>
      <c r="CK7" s="62"/>
      <c r="CL7" s="63"/>
      <c r="CM7" s="62"/>
      <c r="CN7" s="63"/>
      <c r="CO7" s="70">
        <v>5</v>
      </c>
      <c r="CP7" s="63"/>
      <c r="CQ7" s="62"/>
      <c r="CR7" s="63"/>
      <c r="CS7" s="62"/>
      <c r="CT7" s="63"/>
      <c r="CU7" s="62"/>
      <c r="CV7" s="63"/>
      <c r="CW7" s="22"/>
      <c r="CX7" s="26"/>
      <c r="CZ7" s="25"/>
      <c r="DA7" s="22"/>
      <c r="DB7" s="62"/>
      <c r="DC7" s="63"/>
      <c r="DD7" s="62"/>
      <c r="DE7" s="63"/>
      <c r="DF7" s="62"/>
      <c r="DG7" s="63"/>
      <c r="DH7" s="62"/>
      <c r="DI7" s="63"/>
      <c r="DJ7" s="62"/>
      <c r="DK7" s="63"/>
      <c r="DL7" s="62"/>
      <c r="DM7" s="63"/>
      <c r="DN7" s="22"/>
      <c r="DO7" s="26"/>
      <c r="DQ7" s="25"/>
      <c r="DR7" s="22"/>
      <c r="DS7" s="62"/>
      <c r="DT7" s="63"/>
      <c r="DU7" s="62"/>
      <c r="DV7" s="63"/>
      <c r="DW7" s="62"/>
      <c r="DX7" s="63"/>
      <c r="DY7" s="62"/>
      <c r="DZ7" s="63"/>
      <c r="EA7" s="62"/>
      <c r="EB7" s="63"/>
      <c r="EC7" s="62"/>
      <c r="ED7" s="63"/>
      <c r="EE7" s="22"/>
      <c r="EF7" s="26"/>
    </row>
    <row r="8" spans="1:136" ht="18" customHeight="1" x14ac:dyDescent="0.5">
      <c r="A8" s="18"/>
      <c r="B8" s="25"/>
      <c r="C8" s="22"/>
      <c r="D8" s="64"/>
      <c r="E8" s="65"/>
      <c r="F8" s="64"/>
      <c r="G8" s="65"/>
      <c r="H8" s="64"/>
      <c r="I8" s="65"/>
      <c r="J8" s="64"/>
      <c r="K8" s="65"/>
      <c r="L8" s="64"/>
      <c r="M8" s="65"/>
      <c r="N8" s="64"/>
      <c r="O8" s="65"/>
      <c r="P8" s="22"/>
      <c r="Q8" s="26"/>
      <c r="R8" s="20"/>
      <c r="S8" s="25"/>
      <c r="T8" s="22"/>
      <c r="U8" s="64"/>
      <c r="V8" s="65"/>
      <c r="W8" s="64"/>
      <c r="X8" s="65"/>
      <c r="Y8" s="64"/>
      <c r="Z8" s="65"/>
      <c r="AA8" s="64"/>
      <c r="AB8" s="65"/>
      <c r="AC8" s="64"/>
      <c r="AD8" s="65"/>
      <c r="AE8" s="64"/>
      <c r="AF8" s="65"/>
      <c r="AG8" s="22"/>
      <c r="AH8" s="26"/>
      <c r="AJ8" s="25"/>
      <c r="AK8" s="22"/>
      <c r="AL8" s="64"/>
      <c r="AM8" s="65"/>
      <c r="AN8" s="64"/>
      <c r="AO8" s="65"/>
      <c r="AP8" s="64"/>
      <c r="AQ8" s="65"/>
      <c r="AR8" s="64"/>
      <c r="AS8" s="65"/>
      <c r="AT8" s="64"/>
      <c r="AU8" s="65"/>
      <c r="AV8" s="64"/>
      <c r="AW8" s="65"/>
      <c r="AX8" s="22"/>
      <c r="AY8" s="26"/>
      <c r="BA8" s="25"/>
      <c r="BB8" s="22"/>
      <c r="BC8" s="64"/>
      <c r="BD8" s="65"/>
      <c r="BE8" s="64"/>
      <c r="BF8" s="65"/>
      <c r="BG8" s="64"/>
      <c r="BH8" s="65"/>
      <c r="BI8" s="64"/>
      <c r="BJ8" s="65"/>
      <c r="BK8" s="64"/>
      <c r="BL8" s="65"/>
      <c r="BM8" s="64"/>
      <c r="BN8" s="65"/>
      <c r="BO8" s="22"/>
      <c r="BP8" s="26"/>
      <c r="BR8" s="25"/>
      <c r="BS8" s="22"/>
      <c r="BT8" s="64"/>
      <c r="BU8" s="65"/>
      <c r="BV8" s="64"/>
      <c r="BW8" s="65"/>
      <c r="BX8" s="64"/>
      <c r="BY8" s="65"/>
      <c r="BZ8" s="64"/>
      <c r="CA8" s="65"/>
      <c r="CB8" s="64"/>
      <c r="CC8" s="65"/>
      <c r="CD8" s="64"/>
      <c r="CE8" s="65"/>
      <c r="CF8" s="22"/>
      <c r="CG8" s="26"/>
      <c r="CI8" s="25"/>
      <c r="CJ8" s="22"/>
      <c r="CK8" s="64"/>
      <c r="CL8" s="65"/>
      <c r="CM8" s="64"/>
      <c r="CN8" s="65"/>
      <c r="CO8" s="64"/>
      <c r="CP8" s="65"/>
      <c r="CQ8" s="64"/>
      <c r="CR8" s="65"/>
      <c r="CS8" s="64"/>
      <c r="CT8" s="65"/>
      <c r="CU8" s="64"/>
      <c r="CV8" s="65"/>
      <c r="CW8" s="22"/>
      <c r="CX8" s="26"/>
      <c r="CZ8" s="25"/>
      <c r="DA8" s="22"/>
      <c r="DB8" s="64"/>
      <c r="DC8" s="65"/>
      <c r="DD8" s="64"/>
      <c r="DE8" s="65"/>
      <c r="DF8" s="64"/>
      <c r="DG8" s="65"/>
      <c r="DH8" s="64"/>
      <c r="DI8" s="65"/>
      <c r="DJ8" s="64"/>
      <c r="DK8" s="65"/>
      <c r="DL8" s="64"/>
      <c r="DM8" s="65"/>
      <c r="DN8" s="22"/>
      <c r="DO8" s="26"/>
      <c r="DQ8" s="25"/>
      <c r="DR8" s="22"/>
      <c r="DS8" s="64"/>
      <c r="DT8" s="65"/>
      <c r="DU8" s="64"/>
      <c r="DV8" s="65"/>
      <c r="DW8" s="64"/>
      <c r="DX8" s="65"/>
      <c r="DY8" s="64"/>
      <c r="DZ8" s="65"/>
      <c r="EA8" s="64"/>
      <c r="EB8" s="65"/>
      <c r="EC8" s="64"/>
      <c r="ED8" s="65"/>
      <c r="EE8" s="22"/>
      <c r="EF8" s="26"/>
    </row>
    <row r="9" spans="1:136" ht="18" customHeight="1" x14ac:dyDescent="0.5">
      <c r="A9" s="18"/>
      <c r="B9" s="25"/>
      <c r="C9" s="62"/>
      <c r="D9" s="63"/>
      <c r="E9" s="62"/>
      <c r="F9" s="63"/>
      <c r="G9" s="62"/>
      <c r="H9" s="63"/>
      <c r="I9" s="71">
        <v>6</v>
      </c>
      <c r="J9" s="63"/>
      <c r="K9" s="62"/>
      <c r="L9" s="63"/>
      <c r="M9" s="62"/>
      <c r="N9" s="63"/>
      <c r="O9" s="62"/>
      <c r="P9" s="63"/>
      <c r="Q9" s="26"/>
      <c r="R9" s="20"/>
      <c r="S9" s="25"/>
      <c r="T9" s="62"/>
      <c r="U9" s="63"/>
      <c r="V9" s="62"/>
      <c r="W9" s="63"/>
      <c r="X9" s="66">
        <v>1</v>
      </c>
      <c r="Y9" s="63"/>
      <c r="Z9" s="66">
        <v>1</v>
      </c>
      <c r="AA9" s="63"/>
      <c r="AB9" s="66">
        <v>1</v>
      </c>
      <c r="AC9" s="63"/>
      <c r="AD9" s="66">
        <v>1</v>
      </c>
      <c r="AE9" s="63"/>
      <c r="AF9" s="62"/>
      <c r="AG9" s="63"/>
      <c r="AH9" s="26"/>
      <c r="AJ9" s="25"/>
      <c r="AK9" s="62"/>
      <c r="AL9" s="63"/>
      <c r="AM9" s="62"/>
      <c r="AN9" s="63"/>
      <c r="AO9" s="62"/>
      <c r="AP9" s="63"/>
      <c r="AQ9" s="66">
        <v>1</v>
      </c>
      <c r="AR9" s="63"/>
      <c r="AS9" s="62"/>
      <c r="AT9" s="63"/>
      <c r="AU9" s="62"/>
      <c r="AV9" s="63"/>
      <c r="AW9" s="62"/>
      <c r="AX9" s="63"/>
      <c r="AY9" s="26"/>
      <c r="BA9" s="25"/>
      <c r="BB9" s="62"/>
      <c r="BC9" s="63"/>
      <c r="BD9" s="62"/>
      <c r="BE9" s="63"/>
      <c r="BF9" s="62"/>
      <c r="BG9" s="63"/>
      <c r="BH9" s="66">
        <v>1</v>
      </c>
      <c r="BI9" s="63"/>
      <c r="BJ9" s="62"/>
      <c r="BK9" s="63"/>
      <c r="BL9" s="62"/>
      <c r="BM9" s="63"/>
      <c r="BN9" s="62"/>
      <c r="BO9" s="63"/>
      <c r="BP9" s="26"/>
      <c r="BR9" s="25"/>
      <c r="BS9" s="62"/>
      <c r="BT9" s="63"/>
      <c r="BU9" s="62"/>
      <c r="BV9" s="63"/>
      <c r="BW9" s="70">
        <v>5</v>
      </c>
      <c r="BX9" s="63"/>
      <c r="BY9" s="70">
        <v>5</v>
      </c>
      <c r="BZ9" s="63"/>
      <c r="CA9" s="70">
        <v>5</v>
      </c>
      <c r="CB9" s="63"/>
      <c r="CC9" s="62"/>
      <c r="CD9" s="63"/>
      <c r="CE9" s="62"/>
      <c r="CF9" s="63"/>
      <c r="CG9" s="26"/>
      <c r="CI9" s="25"/>
      <c r="CJ9" s="62"/>
      <c r="CK9" s="63"/>
      <c r="CL9" s="62"/>
      <c r="CM9" s="63"/>
      <c r="CN9" s="70">
        <v>5</v>
      </c>
      <c r="CO9" s="63"/>
      <c r="CP9" s="70">
        <v>5</v>
      </c>
      <c r="CQ9" s="63"/>
      <c r="CR9" s="70">
        <v>5</v>
      </c>
      <c r="CS9" s="63"/>
      <c r="CT9" s="62"/>
      <c r="CU9" s="63"/>
      <c r="CV9" s="62"/>
      <c r="CW9" s="63"/>
      <c r="CX9" s="26"/>
      <c r="CZ9" s="25"/>
      <c r="DA9" s="62"/>
      <c r="DB9" s="63"/>
      <c r="DC9" s="62"/>
      <c r="DD9" s="63"/>
      <c r="DE9" s="70">
        <v>5</v>
      </c>
      <c r="DF9" s="63"/>
      <c r="DG9" s="70">
        <v>5</v>
      </c>
      <c r="DH9" s="63"/>
      <c r="DI9" s="70">
        <v>5</v>
      </c>
      <c r="DJ9" s="63"/>
      <c r="DK9" s="62"/>
      <c r="DL9" s="63"/>
      <c r="DM9" s="62"/>
      <c r="DN9" s="63"/>
      <c r="DO9" s="26"/>
      <c r="DQ9" s="25"/>
      <c r="DR9" s="62"/>
      <c r="DS9" s="63"/>
      <c r="DT9" s="62"/>
      <c r="DU9" s="63"/>
      <c r="DV9" s="70">
        <v>5</v>
      </c>
      <c r="DW9" s="63"/>
      <c r="DX9" s="70">
        <v>5</v>
      </c>
      <c r="DY9" s="63"/>
      <c r="DZ9" s="70">
        <v>5</v>
      </c>
      <c r="EA9" s="63"/>
      <c r="EB9" s="62"/>
      <c r="EC9" s="63"/>
      <c r="ED9" s="62"/>
      <c r="EE9" s="63"/>
      <c r="EF9" s="26"/>
    </row>
    <row r="10" spans="1:136" ht="18" customHeight="1" x14ac:dyDescent="0.5">
      <c r="A10" s="18"/>
      <c r="B10" s="25"/>
      <c r="C10" s="64"/>
      <c r="D10" s="65"/>
      <c r="E10" s="64"/>
      <c r="F10" s="65"/>
      <c r="G10" s="64"/>
      <c r="H10" s="65"/>
      <c r="I10" s="64"/>
      <c r="J10" s="65"/>
      <c r="K10" s="64"/>
      <c r="L10" s="65"/>
      <c r="M10" s="64"/>
      <c r="N10" s="65"/>
      <c r="O10" s="64"/>
      <c r="P10" s="65"/>
      <c r="Q10" s="26"/>
      <c r="R10" s="20"/>
      <c r="S10" s="25"/>
      <c r="T10" s="64"/>
      <c r="U10" s="65"/>
      <c r="V10" s="64"/>
      <c r="W10" s="65"/>
      <c r="X10" s="64"/>
      <c r="Y10" s="65"/>
      <c r="Z10" s="64"/>
      <c r="AA10" s="65"/>
      <c r="AB10" s="64"/>
      <c r="AC10" s="65"/>
      <c r="AD10" s="64"/>
      <c r="AE10" s="65"/>
      <c r="AF10" s="64"/>
      <c r="AG10" s="65"/>
      <c r="AH10" s="26"/>
      <c r="AJ10" s="25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64"/>
      <c r="AV10" s="65"/>
      <c r="AW10" s="64"/>
      <c r="AX10" s="65"/>
      <c r="AY10" s="26"/>
      <c r="BA10" s="25"/>
      <c r="BB10" s="64"/>
      <c r="BC10" s="65"/>
      <c r="BD10" s="64"/>
      <c r="BE10" s="65"/>
      <c r="BF10" s="64"/>
      <c r="BG10" s="65"/>
      <c r="BH10" s="64"/>
      <c r="BI10" s="65"/>
      <c r="BJ10" s="64"/>
      <c r="BK10" s="65"/>
      <c r="BL10" s="64"/>
      <c r="BM10" s="65"/>
      <c r="BN10" s="64"/>
      <c r="BO10" s="65"/>
      <c r="BP10" s="26"/>
      <c r="BR10" s="25"/>
      <c r="BS10" s="64"/>
      <c r="BT10" s="65"/>
      <c r="BU10" s="64"/>
      <c r="BV10" s="65"/>
      <c r="BW10" s="64"/>
      <c r="BX10" s="65"/>
      <c r="BY10" s="64"/>
      <c r="BZ10" s="65"/>
      <c r="CA10" s="64"/>
      <c r="CB10" s="65"/>
      <c r="CC10" s="64"/>
      <c r="CD10" s="65"/>
      <c r="CE10" s="64"/>
      <c r="CF10" s="65"/>
      <c r="CG10" s="26"/>
      <c r="CI10" s="25"/>
      <c r="CJ10" s="64"/>
      <c r="CK10" s="65"/>
      <c r="CL10" s="64"/>
      <c r="CM10" s="65"/>
      <c r="CN10" s="64"/>
      <c r="CO10" s="65"/>
      <c r="CP10" s="64"/>
      <c r="CQ10" s="65"/>
      <c r="CR10" s="64"/>
      <c r="CS10" s="65"/>
      <c r="CT10" s="64"/>
      <c r="CU10" s="65"/>
      <c r="CV10" s="64"/>
      <c r="CW10" s="65"/>
      <c r="CX10" s="26"/>
      <c r="CZ10" s="25"/>
      <c r="DA10" s="64"/>
      <c r="DB10" s="65"/>
      <c r="DC10" s="64"/>
      <c r="DD10" s="65"/>
      <c r="DE10" s="64"/>
      <c r="DF10" s="65"/>
      <c r="DG10" s="64"/>
      <c r="DH10" s="65"/>
      <c r="DI10" s="64"/>
      <c r="DJ10" s="65"/>
      <c r="DK10" s="64"/>
      <c r="DL10" s="65"/>
      <c r="DM10" s="64"/>
      <c r="DN10" s="65"/>
      <c r="DO10" s="26"/>
      <c r="DQ10" s="25"/>
      <c r="DR10" s="64"/>
      <c r="DS10" s="65"/>
      <c r="DT10" s="64"/>
      <c r="DU10" s="65"/>
      <c r="DV10" s="64"/>
      <c r="DW10" s="65"/>
      <c r="DX10" s="64"/>
      <c r="DY10" s="65"/>
      <c r="DZ10" s="64"/>
      <c r="EA10" s="65"/>
      <c r="EB10" s="64"/>
      <c r="EC10" s="65"/>
      <c r="ED10" s="64"/>
      <c r="EE10" s="65"/>
      <c r="EF10" s="26"/>
    </row>
    <row r="11" spans="1:136" ht="18" customHeight="1" x14ac:dyDescent="0.5">
      <c r="A11" s="18"/>
      <c r="B11" s="25"/>
      <c r="C11" s="22"/>
      <c r="D11" s="62"/>
      <c r="E11" s="63"/>
      <c r="F11" s="62"/>
      <c r="G11" s="63"/>
      <c r="H11" s="62"/>
      <c r="I11" s="63"/>
      <c r="J11" s="62"/>
      <c r="K11" s="63"/>
      <c r="L11" s="62"/>
      <c r="M11" s="63"/>
      <c r="N11" s="62"/>
      <c r="O11" s="63"/>
      <c r="P11" s="22"/>
      <c r="Q11" s="26"/>
      <c r="R11" s="20"/>
      <c r="S11" s="25"/>
      <c r="T11" s="22"/>
      <c r="U11" s="62"/>
      <c r="V11" s="63"/>
      <c r="W11" s="62"/>
      <c r="X11" s="63"/>
      <c r="Y11" s="62"/>
      <c r="Z11" s="63"/>
      <c r="AA11" s="62"/>
      <c r="AB11" s="63"/>
      <c r="AC11" s="62"/>
      <c r="AD11" s="63"/>
      <c r="AE11" s="62"/>
      <c r="AF11" s="63"/>
      <c r="AG11" s="22"/>
      <c r="AH11" s="26"/>
      <c r="AJ11" s="25"/>
      <c r="AK11" s="22"/>
      <c r="AL11" s="62"/>
      <c r="AM11" s="63"/>
      <c r="AN11" s="62"/>
      <c r="AO11" s="63"/>
      <c r="AP11" s="66">
        <v>1</v>
      </c>
      <c r="AQ11" s="63"/>
      <c r="AR11" s="62"/>
      <c r="AS11" s="63"/>
      <c r="AT11" s="62"/>
      <c r="AU11" s="63"/>
      <c r="AV11" s="62"/>
      <c r="AW11" s="63"/>
      <c r="AX11" s="22"/>
      <c r="AY11" s="26"/>
      <c r="BA11" s="25"/>
      <c r="BB11" s="22"/>
      <c r="BC11" s="62"/>
      <c r="BD11" s="63"/>
      <c r="BE11" s="62"/>
      <c r="BF11" s="63"/>
      <c r="BG11" s="62"/>
      <c r="BH11" s="63"/>
      <c r="BI11" s="66">
        <v>1</v>
      </c>
      <c r="BJ11" s="63"/>
      <c r="BK11" s="62"/>
      <c r="BL11" s="63"/>
      <c r="BM11" s="62"/>
      <c r="BN11" s="63"/>
      <c r="BO11" s="22"/>
      <c r="BP11" s="26"/>
      <c r="BR11" s="25"/>
      <c r="BS11" s="22"/>
      <c r="BT11" s="62"/>
      <c r="BU11" s="63"/>
      <c r="BV11" s="62"/>
      <c r="BW11" s="63"/>
      <c r="BX11" s="62"/>
      <c r="BY11" s="63"/>
      <c r="BZ11" s="62"/>
      <c r="CA11" s="63"/>
      <c r="CB11" s="62"/>
      <c r="CC11" s="63"/>
      <c r="CD11" s="62"/>
      <c r="CE11" s="63"/>
      <c r="CF11" s="22"/>
      <c r="CG11" s="26"/>
      <c r="CI11" s="25"/>
      <c r="CJ11" s="22"/>
      <c r="CK11" s="62"/>
      <c r="CL11" s="63"/>
      <c r="CM11" s="62"/>
      <c r="CN11" s="63"/>
      <c r="CO11" s="62"/>
      <c r="CP11" s="63"/>
      <c r="CQ11" s="62"/>
      <c r="CR11" s="63"/>
      <c r="CS11" s="62"/>
      <c r="CT11" s="63"/>
      <c r="CU11" s="62"/>
      <c r="CV11" s="63"/>
      <c r="CW11" s="22"/>
      <c r="CX11" s="26"/>
      <c r="CZ11" s="25"/>
      <c r="DA11" s="22"/>
      <c r="DB11" s="62"/>
      <c r="DC11" s="63"/>
      <c r="DD11" s="62"/>
      <c r="DE11" s="63"/>
      <c r="DF11" s="70">
        <v>5</v>
      </c>
      <c r="DG11" s="63"/>
      <c r="DH11" s="62"/>
      <c r="DI11" s="63"/>
      <c r="DJ11" s="62"/>
      <c r="DK11" s="63"/>
      <c r="DL11" s="62"/>
      <c r="DM11" s="63"/>
      <c r="DN11" s="22"/>
      <c r="DO11" s="26"/>
      <c r="DQ11" s="25"/>
      <c r="DR11" s="22"/>
      <c r="DS11" s="62"/>
      <c r="DT11" s="63"/>
      <c r="DU11" s="62"/>
      <c r="DV11" s="63"/>
      <c r="DW11" s="62"/>
      <c r="DX11" s="63"/>
      <c r="DY11" s="70">
        <v>5</v>
      </c>
      <c r="DZ11" s="63"/>
      <c r="EA11" s="62"/>
      <c r="EB11" s="63"/>
      <c r="EC11" s="62"/>
      <c r="ED11" s="63"/>
      <c r="EE11" s="22"/>
      <c r="EF11" s="26"/>
    </row>
    <row r="12" spans="1:136" ht="18" customHeight="1" x14ac:dyDescent="0.5">
      <c r="A12" s="18"/>
      <c r="B12" s="25"/>
      <c r="C12" s="22"/>
      <c r="D12" s="64"/>
      <c r="E12" s="65"/>
      <c r="F12" s="64"/>
      <c r="G12" s="65"/>
      <c r="H12" s="64"/>
      <c r="I12" s="65"/>
      <c r="J12" s="64"/>
      <c r="K12" s="65"/>
      <c r="L12" s="64"/>
      <c r="M12" s="65"/>
      <c r="N12" s="64"/>
      <c r="O12" s="65"/>
      <c r="P12" s="22"/>
      <c r="Q12" s="26"/>
      <c r="R12" s="20"/>
      <c r="S12" s="25"/>
      <c r="T12" s="22"/>
      <c r="U12" s="64"/>
      <c r="V12" s="65"/>
      <c r="W12" s="64"/>
      <c r="X12" s="65"/>
      <c r="Y12" s="64"/>
      <c r="Z12" s="65"/>
      <c r="AA12" s="64"/>
      <c r="AB12" s="65"/>
      <c r="AC12" s="64"/>
      <c r="AD12" s="65"/>
      <c r="AE12" s="64"/>
      <c r="AF12" s="65"/>
      <c r="AG12" s="22"/>
      <c r="AH12" s="26"/>
      <c r="AJ12" s="25"/>
      <c r="AK12" s="22"/>
      <c r="AL12" s="64"/>
      <c r="AM12" s="65"/>
      <c r="AN12" s="64"/>
      <c r="AO12" s="65"/>
      <c r="AP12" s="64"/>
      <c r="AQ12" s="65"/>
      <c r="AR12" s="64"/>
      <c r="AS12" s="65"/>
      <c r="AT12" s="64"/>
      <c r="AU12" s="65"/>
      <c r="AV12" s="64"/>
      <c r="AW12" s="65"/>
      <c r="AX12" s="22"/>
      <c r="AY12" s="26"/>
      <c r="BA12" s="25"/>
      <c r="BB12" s="22"/>
      <c r="BC12" s="64"/>
      <c r="BD12" s="65"/>
      <c r="BE12" s="64"/>
      <c r="BF12" s="65"/>
      <c r="BG12" s="64"/>
      <c r="BH12" s="65"/>
      <c r="BI12" s="64"/>
      <c r="BJ12" s="65"/>
      <c r="BK12" s="64"/>
      <c r="BL12" s="65"/>
      <c r="BM12" s="64"/>
      <c r="BN12" s="65"/>
      <c r="BO12" s="22"/>
      <c r="BP12" s="26"/>
      <c r="BR12" s="25"/>
      <c r="BS12" s="22"/>
      <c r="BT12" s="64"/>
      <c r="BU12" s="65"/>
      <c r="BV12" s="64"/>
      <c r="BW12" s="65"/>
      <c r="BX12" s="64"/>
      <c r="BY12" s="65"/>
      <c r="BZ12" s="64"/>
      <c r="CA12" s="65"/>
      <c r="CB12" s="64"/>
      <c r="CC12" s="65"/>
      <c r="CD12" s="64"/>
      <c r="CE12" s="65"/>
      <c r="CF12" s="22"/>
      <c r="CG12" s="26"/>
      <c r="CI12" s="25"/>
      <c r="CJ12" s="22"/>
      <c r="CK12" s="64"/>
      <c r="CL12" s="65"/>
      <c r="CM12" s="64"/>
      <c r="CN12" s="65"/>
      <c r="CO12" s="64"/>
      <c r="CP12" s="65"/>
      <c r="CQ12" s="64"/>
      <c r="CR12" s="65"/>
      <c r="CS12" s="64"/>
      <c r="CT12" s="65"/>
      <c r="CU12" s="64"/>
      <c r="CV12" s="65"/>
      <c r="CW12" s="22"/>
      <c r="CX12" s="26"/>
      <c r="CZ12" s="25"/>
      <c r="DA12" s="22"/>
      <c r="DB12" s="64"/>
      <c r="DC12" s="65"/>
      <c r="DD12" s="64"/>
      <c r="DE12" s="65"/>
      <c r="DF12" s="64"/>
      <c r="DG12" s="65"/>
      <c r="DH12" s="64"/>
      <c r="DI12" s="65"/>
      <c r="DJ12" s="64"/>
      <c r="DK12" s="65"/>
      <c r="DL12" s="64"/>
      <c r="DM12" s="65"/>
      <c r="DN12" s="22"/>
      <c r="DO12" s="26"/>
      <c r="DQ12" s="25"/>
      <c r="DR12" s="22"/>
      <c r="DS12" s="64"/>
      <c r="DT12" s="65"/>
      <c r="DU12" s="64"/>
      <c r="DV12" s="65"/>
      <c r="DW12" s="64"/>
      <c r="DX12" s="65"/>
      <c r="DY12" s="64"/>
      <c r="DZ12" s="65"/>
      <c r="EA12" s="64"/>
      <c r="EB12" s="65"/>
      <c r="EC12" s="64"/>
      <c r="ED12" s="65"/>
      <c r="EE12" s="22"/>
      <c r="EF12" s="26"/>
    </row>
    <row r="13" spans="1:136" ht="18" customHeight="1" x14ac:dyDescent="0.5">
      <c r="A13" s="18"/>
      <c r="B13" s="25"/>
      <c r="C13" s="22"/>
      <c r="D13" s="22"/>
      <c r="E13" s="62"/>
      <c r="F13" s="63"/>
      <c r="G13" s="62"/>
      <c r="H13" s="63"/>
      <c r="I13" s="62"/>
      <c r="J13" s="63"/>
      <c r="K13" s="62"/>
      <c r="L13" s="63"/>
      <c r="M13" s="62"/>
      <c r="N13" s="63"/>
      <c r="O13" s="22"/>
      <c r="P13" s="22"/>
      <c r="Q13" s="26"/>
      <c r="R13" s="20"/>
      <c r="S13" s="25"/>
      <c r="T13" s="22"/>
      <c r="U13" s="22"/>
      <c r="V13" s="62"/>
      <c r="W13" s="63"/>
      <c r="X13" s="62"/>
      <c r="Y13" s="63"/>
      <c r="Z13" s="62"/>
      <c r="AA13" s="63"/>
      <c r="AB13" s="62"/>
      <c r="AC13" s="63"/>
      <c r="AD13" s="62"/>
      <c r="AE13" s="63"/>
      <c r="AF13" s="22"/>
      <c r="AG13" s="22"/>
      <c r="AH13" s="26"/>
      <c r="AJ13" s="25"/>
      <c r="AK13" s="22"/>
      <c r="AL13" s="22"/>
      <c r="AM13" s="62"/>
      <c r="AN13" s="63"/>
      <c r="AO13" s="62"/>
      <c r="AP13" s="63"/>
      <c r="AQ13" s="62"/>
      <c r="AR13" s="63"/>
      <c r="AS13" s="62"/>
      <c r="AT13" s="63"/>
      <c r="AU13" s="62"/>
      <c r="AV13" s="63"/>
      <c r="AW13" s="22"/>
      <c r="AX13" s="22"/>
      <c r="AY13" s="26"/>
      <c r="BA13" s="25"/>
      <c r="BB13" s="22"/>
      <c r="BC13" s="22"/>
      <c r="BD13" s="62"/>
      <c r="BE13" s="63"/>
      <c r="BF13" s="62"/>
      <c r="BG13" s="63"/>
      <c r="BH13" s="62"/>
      <c r="BI13" s="63"/>
      <c r="BJ13" s="66">
        <v>1</v>
      </c>
      <c r="BK13" s="63"/>
      <c r="BL13" s="62"/>
      <c r="BM13" s="63"/>
      <c r="BN13" s="22"/>
      <c r="BO13" s="22"/>
      <c r="BP13" s="26"/>
      <c r="BR13" s="25"/>
      <c r="BS13" s="22"/>
      <c r="BT13" s="22"/>
      <c r="BU13" s="62"/>
      <c r="BV13" s="63"/>
      <c r="BW13" s="62"/>
      <c r="BX13" s="63"/>
      <c r="BY13" s="62"/>
      <c r="BZ13" s="63"/>
      <c r="CA13" s="62"/>
      <c r="CB13" s="63"/>
      <c r="CC13" s="62"/>
      <c r="CD13" s="63"/>
      <c r="CE13" s="22"/>
      <c r="CF13" s="22"/>
      <c r="CG13" s="26"/>
      <c r="CI13" s="25"/>
      <c r="CJ13" s="22"/>
      <c r="CK13" s="22"/>
      <c r="CL13" s="62"/>
      <c r="CM13" s="63"/>
      <c r="CN13" s="62"/>
      <c r="CO13" s="63"/>
      <c r="CP13" s="62"/>
      <c r="CQ13" s="63"/>
      <c r="CR13" s="62"/>
      <c r="CS13" s="63"/>
      <c r="CT13" s="62"/>
      <c r="CU13" s="63"/>
      <c r="CV13" s="22"/>
      <c r="CW13" s="22"/>
      <c r="CX13" s="26"/>
      <c r="CZ13" s="25"/>
      <c r="DA13" s="22"/>
      <c r="DB13" s="22"/>
      <c r="DC13" s="62"/>
      <c r="DD13" s="63"/>
      <c r="DE13" s="62"/>
      <c r="DF13" s="63"/>
      <c r="DG13" s="62"/>
      <c r="DH13" s="63"/>
      <c r="DI13" s="62"/>
      <c r="DJ13" s="63"/>
      <c r="DK13" s="62"/>
      <c r="DL13" s="63"/>
      <c r="DM13" s="22"/>
      <c r="DN13" s="22"/>
      <c r="DO13" s="26"/>
      <c r="DQ13" s="25"/>
      <c r="DR13" s="22"/>
      <c r="DS13" s="22"/>
      <c r="DT13" s="62"/>
      <c r="DU13" s="63"/>
      <c r="DV13" s="62"/>
      <c r="DW13" s="63"/>
      <c r="DX13" s="62"/>
      <c r="DY13" s="63"/>
      <c r="DZ13" s="62"/>
      <c r="EA13" s="63"/>
      <c r="EB13" s="62"/>
      <c r="EC13" s="63"/>
      <c r="ED13" s="22"/>
      <c r="EE13" s="22"/>
      <c r="EF13" s="26"/>
    </row>
    <row r="14" spans="1:136" ht="18" customHeight="1" x14ac:dyDescent="0.5">
      <c r="A14" s="18"/>
      <c r="B14" s="25"/>
      <c r="C14" s="22"/>
      <c r="D14" s="22"/>
      <c r="E14" s="64"/>
      <c r="F14" s="65"/>
      <c r="G14" s="64"/>
      <c r="H14" s="65"/>
      <c r="I14" s="64"/>
      <c r="J14" s="65"/>
      <c r="K14" s="64"/>
      <c r="L14" s="65"/>
      <c r="M14" s="64"/>
      <c r="N14" s="65"/>
      <c r="O14" s="22"/>
      <c r="P14" s="22"/>
      <c r="Q14" s="26"/>
      <c r="R14" s="20"/>
      <c r="S14" s="25"/>
      <c r="T14" s="22"/>
      <c r="U14" s="22"/>
      <c r="V14" s="64"/>
      <c r="W14" s="65"/>
      <c r="X14" s="64"/>
      <c r="Y14" s="65"/>
      <c r="Z14" s="64"/>
      <c r="AA14" s="65"/>
      <c r="AB14" s="64"/>
      <c r="AC14" s="65"/>
      <c r="AD14" s="64"/>
      <c r="AE14" s="65"/>
      <c r="AF14" s="22"/>
      <c r="AG14" s="22"/>
      <c r="AH14" s="26"/>
      <c r="AJ14" s="25"/>
      <c r="AK14" s="22"/>
      <c r="AL14" s="22"/>
      <c r="AM14" s="64"/>
      <c r="AN14" s="65"/>
      <c r="AO14" s="64"/>
      <c r="AP14" s="65"/>
      <c r="AQ14" s="64"/>
      <c r="AR14" s="65"/>
      <c r="AS14" s="64"/>
      <c r="AT14" s="65"/>
      <c r="AU14" s="64"/>
      <c r="AV14" s="65"/>
      <c r="AW14" s="22"/>
      <c r="AX14" s="22"/>
      <c r="AY14" s="26"/>
      <c r="BA14" s="25"/>
      <c r="BB14" s="22"/>
      <c r="BC14" s="22"/>
      <c r="BD14" s="64"/>
      <c r="BE14" s="65"/>
      <c r="BF14" s="64"/>
      <c r="BG14" s="65"/>
      <c r="BH14" s="64"/>
      <c r="BI14" s="65"/>
      <c r="BJ14" s="64"/>
      <c r="BK14" s="65"/>
      <c r="BL14" s="64"/>
      <c r="BM14" s="65"/>
      <c r="BN14" s="22"/>
      <c r="BO14" s="22"/>
      <c r="BP14" s="26"/>
      <c r="BR14" s="25"/>
      <c r="BS14" s="22"/>
      <c r="BT14" s="22"/>
      <c r="BU14" s="64"/>
      <c r="BV14" s="65"/>
      <c r="BW14" s="64"/>
      <c r="BX14" s="65"/>
      <c r="BY14" s="64"/>
      <c r="BZ14" s="65"/>
      <c r="CA14" s="64"/>
      <c r="CB14" s="65"/>
      <c r="CC14" s="64"/>
      <c r="CD14" s="65"/>
      <c r="CE14" s="22"/>
      <c r="CF14" s="22"/>
      <c r="CG14" s="26"/>
      <c r="CI14" s="25"/>
      <c r="CJ14" s="22"/>
      <c r="CK14" s="22"/>
      <c r="CL14" s="64"/>
      <c r="CM14" s="65"/>
      <c r="CN14" s="64"/>
      <c r="CO14" s="65"/>
      <c r="CP14" s="64"/>
      <c r="CQ14" s="65"/>
      <c r="CR14" s="64"/>
      <c r="CS14" s="65"/>
      <c r="CT14" s="64"/>
      <c r="CU14" s="65"/>
      <c r="CV14" s="22"/>
      <c r="CW14" s="22"/>
      <c r="CX14" s="26"/>
      <c r="CZ14" s="25"/>
      <c r="DA14" s="22"/>
      <c r="DB14" s="22"/>
      <c r="DC14" s="64"/>
      <c r="DD14" s="65"/>
      <c r="DE14" s="64"/>
      <c r="DF14" s="65"/>
      <c r="DG14" s="64"/>
      <c r="DH14" s="65"/>
      <c r="DI14" s="64"/>
      <c r="DJ14" s="65"/>
      <c r="DK14" s="64"/>
      <c r="DL14" s="65"/>
      <c r="DM14" s="22"/>
      <c r="DN14" s="22"/>
      <c r="DO14" s="26"/>
      <c r="DQ14" s="25"/>
      <c r="DR14" s="22"/>
      <c r="DS14" s="22"/>
      <c r="DT14" s="64"/>
      <c r="DU14" s="65"/>
      <c r="DV14" s="64"/>
      <c r="DW14" s="65"/>
      <c r="DX14" s="64"/>
      <c r="DY14" s="65"/>
      <c r="DZ14" s="64"/>
      <c r="EA14" s="65"/>
      <c r="EB14" s="64"/>
      <c r="EC14" s="65"/>
      <c r="ED14" s="22"/>
      <c r="EE14" s="22"/>
      <c r="EF14" s="26"/>
    </row>
    <row r="15" spans="1:136" ht="18" customHeight="1" x14ac:dyDescent="0.5">
      <c r="A15" s="18"/>
      <c r="B15" s="25"/>
      <c r="C15" s="21"/>
      <c r="D15" s="22"/>
      <c r="E15" s="22"/>
      <c r="F15" s="62"/>
      <c r="G15" s="63"/>
      <c r="H15" s="62"/>
      <c r="I15" s="63"/>
      <c r="J15" s="62"/>
      <c r="K15" s="63"/>
      <c r="L15" s="62"/>
      <c r="M15" s="63"/>
      <c r="N15" s="22"/>
      <c r="O15" s="22"/>
      <c r="P15" s="21"/>
      <c r="Q15" s="26"/>
      <c r="R15" s="20"/>
      <c r="S15" s="25"/>
      <c r="T15" s="21"/>
      <c r="U15" s="22"/>
      <c r="V15" s="22"/>
      <c r="W15" s="62"/>
      <c r="X15" s="63"/>
      <c r="Y15" s="62"/>
      <c r="Z15" s="63"/>
      <c r="AA15" s="62"/>
      <c r="AB15" s="63"/>
      <c r="AC15" s="62"/>
      <c r="AD15" s="63"/>
      <c r="AE15" s="22"/>
      <c r="AF15" s="22"/>
      <c r="AG15" s="21"/>
      <c r="AH15" s="26"/>
      <c r="AJ15" s="25"/>
      <c r="AK15" s="21"/>
      <c r="AL15" s="22"/>
      <c r="AM15" s="22"/>
      <c r="AN15" s="62"/>
      <c r="AO15" s="63"/>
      <c r="AP15" s="62"/>
      <c r="AQ15" s="63"/>
      <c r="AR15" s="62"/>
      <c r="AS15" s="63"/>
      <c r="AT15" s="62"/>
      <c r="AU15" s="63"/>
      <c r="AV15" s="22"/>
      <c r="AW15" s="22"/>
      <c r="AX15" s="21"/>
      <c r="AY15" s="26"/>
      <c r="BA15" s="25"/>
      <c r="BB15" s="21"/>
      <c r="BC15" s="22"/>
      <c r="BD15" s="22"/>
      <c r="BE15" s="62"/>
      <c r="BF15" s="63"/>
      <c r="BG15" s="62"/>
      <c r="BH15" s="63"/>
      <c r="BI15" s="62"/>
      <c r="BJ15" s="63"/>
      <c r="BK15" s="62"/>
      <c r="BL15" s="63"/>
      <c r="BM15" s="22"/>
      <c r="BN15" s="22"/>
      <c r="BO15" s="21"/>
      <c r="BP15" s="26"/>
      <c r="BR15" s="25"/>
      <c r="BS15" s="21"/>
      <c r="BT15" s="22"/>
      <c r="BU15" s="22"/>
      <c r="BV15" s="62"/>
      <c r="BW15" s="63"/>
      <c r="BX15" s="62"/>
      <c r="BY15" s="63"/>
      <c r="BZ15" s="62"/>
      <c r="CA15" s="63"/>
      <c r="CB15" s="62"/>
      <c r="CC15" s="63"/>
      <c r="CD15" s="22"/>
      <c r="CE15" s="22"/>
      <c r="CF15" s="21"/>
      <c r="CG15" s="26"/>
      <c r="CI15" s="25"/>
      <c r="CJ15" s="21"/>
      <c r="CK15" s="22"/>
      <c r="CL15" s="22"/>
      <c r="CM15" s="62"/>
      <c r="CN15" s="63"/>
      <c r="CO15" s="62"/>
      <c r="CP15" s="63"/>
      <c r="CQ15" s="62"/>
      <c r="CR15" s="63"/>
      <c r="CS15" s="62"/>
      <c r="CT15" s="63"/>
      <c r="CU15" s="22"/>
      <c r="CV15" s="22"/>
      <c r="CW15" s="21"/>
      <c r="CX15" s="26"/>
      <c r="CZ15" s="25"/>
      <c r="DA15" s="21"/>
      <c r="DB15" s="22"/>
      <c r="DC15" s="22"/>
      <c r="DD15" s="62"/>
      <c r="DE15" s="63"/>
      <c r="DF15" s="62"/>
      <c r="DG15" s="63"/>
      <c r="DH15" s="62"/>
      <c r="DI15" s="63"/>
      <c r="DJ15" s="62"/>
      <c r="DK15" s="63"/>
      <c r="DL15" s="22"/>
      <c r="DM15" s="22"/>
      <c r="DN15" s="21"/>
      <c r="DO15" s="26"/>
      <c r="DQ15" s="25"/>
      <c r="DR15" s="21"/>
      <c r="DS15" s="22"/>
      <c r="DT15" s="22"/>
      <c r="DU15" s="62"/>
      <c r="DV15" s="63"/>
      <c r="DW15" s="62"/>
      <c r="DX15" s="63"/>
      <c r="DY15" s="62"/>
      <c r="DZ15" s="63"/>
      <c r="EA15" s="62"/>
      <c r="EB15" s="63"/>
      <c r="EC15" s="22"/>
      <c r="ED15" s="22"/>
      <c r="EE15" s="21"/>
      <c r="EF15" s="26"/>
    </row>
    <row r="16" spans="1:136" ht="18" customHeight="1" x14ac:dyDescent="0.5">
      <c r="A16" s="18"/>
      <c r="B16" s="25"/>
      <c r="C16" s="21"/>
      <c r="D16" s="22"/>
      <c r="E16" s="22"/>
      <c r="F16" s="64"/>
      <c r="G16" s="65"/>
      <c r="H16" s="64"/>
      <c r="I16" s="65"/>
      <c r="J16" s="64"/>
      <c r="K16" s="65"/>
      <c r="L16" s="64"/>
      <c r="M16" s="65"/>
      <c r="N16" s="22"/>
      <c r="O16" s="22"/>
      <c r="P16" s="21"/>
      <c r="Q16" s="26"/>
      <c r="R16" s="20"/>
      <c r="S16" s="25"/>
      <c r="T16" s="21"/>
      <c r="U16" s="22"/>
      <c r="V16" s="22"/>
      <c r="W16" s="64"/>
      <c r="X16" s="65"/>
      <c r="Y16" s="64"/>
      <c r="Z16" s="65"/>
      <c r="AA16" s="64"/>
      <c r="AB16" s="65"/>
      <c r="AC16" s="64"/>
      <c r="AD16" s="65"/>
      <c r="AE16" s="22"/>
      <c r="AF16" s="22"/>
      <c r="AG16" s="21"/>
      <c r="AH16" s="26"/>
      <c r="AJ16" s="25"/>
      <c r="AK16" s="21"/>
      <c r="AL16" s="22"/>
      <c r="AM16" s="22"/>
      <c r="AN16" s="64"/>
      <c r="AO16" s="65"/>
      <c r="AP16" s="64"/>
      <c r="AQ16" s="65"/>
      <c r="AR16" s="64"/>
      <c r="AS16" s="65"/>
      <c r="AT16" s="64"/>
      <c r="AU16" s="65"/>
      <c r="AV16" s="22"/>
      <c r="AW16" s="22"/>
      <c r="AX16" s="21"/>
      <c r="AY16" s="26"/>
      <c r="BA16" s="25"/>
      <c r="BB16" s="21"/>
      <c r="BC16" s="22"/>
      <c r="BD16" s="22"/>
      <c r="BE16" s="64"/>
      <c r="BF16" s="65"/>
      <c r="BG16" s="64"/>
      <c r="BH16" s="65"/>
      <c r="BI16" s="64"/>
      <c r="BJ16" s="65"/>
      <c r="BK16" s="64"/>
      <c r="BL16" s="65"/>
      <c r="BM16" s="22"/>
      <c r="BN16" s="22"/>
      <c r="BO16" s="21"/>
      <c r="BP16" s="26"/>
      <c r="BR16" s="25"/>
      <c r="BS16" s="21"/>
      <c r="BT16" s="22"/>
      <c r="BU16" s="22"/>
      <c r="BV16" s="64"/>
      <c r="BW16" s="65"/>
      <c r="BX16" s="64"/>
      <c r="BY16" s="65"/>
      <c r="BZ16" s="64"/>
      <c r="CA16" s="65"/>
      <c r="CB16" s="64"/>
      <c r="CC16" s="65"/>
      <c r="CD16" s="22"/>
      <c r="CE16" s="22"/>
      <c r="CF16" s="21"/>
      <c r="CG16" s="26"/>
      <c r="CI16" s="25"/>
      <c r="CJ16" s="21"/>
      <c r="CK16" s="22"/>
      <c r="CL16" s="22"/>
      <c r="CM16" s="64"/>
      <c r="CN16" s="65"/>
      <c r="CO16" s="64"/>
      <c r="CP16" s="65"/>
      <c r="CQ16" s="64"/>
      <c r="CR16" s="65"/>
      <c r="CS16" s="64"/>
      <c r="CT16" s="65"/>
      <c r="CU16" s="22"/>
      <c r="CV16" s="22"/>
      <c r="CW16" s="21"/>
      <c r="CX16" s="26"/>
      <c r="CZ16" s="25"/>
      <c r="DA16" s="21"/>
      <c r="DB16" s="22"/>
      <c r="DC16" s="22"/>
      <c r="DD16" s="64"/>
      <c r="DE16" s="65"/>
      <c r="DF16" s="64"/>
      <c r="DG16" s="65"/>
      <c r="DH16" s="64"/>
      <c r="DI16" s="65"/>
      <c r="DJ16" s="64"/>
      <c r="DK16" s="65"/>
      <c r="DL16" s="22"/>
      <c r="DM16" s="22"/>
      <c r="DN16" s="21"/>
      <c r="DO16" s="26"/>
      <c r="DQ16" s="25"/>
      <c r="DR16" s="21"/>
      <c r="DS16" s="22"/>
      <c r="DT16" s="22"/>
      <c r="DU16" s="64"/>
      <c r="DV16" s="65"/>
      <c r="DW16" s="64"/>
      <c r="DX16" s="65"/>
      <c r="DY16" s="64"/>
      <c r="DZ16" s="65"/>
      <c r="EA16" s="64"/>
      <c r="EB16" s="65"/>
      <c r="EC16" s="22"/>
      <c r="ED16" s="22"/>
      <c r="EE16" s="21"/>
      <c r="EF16" s="26"/>
    </row>
    <row r="17" spans="1:136" ht="18" customHeight="1" x14ac:dyDescent="0.5">
      <c r="A17" s="18"/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27"/>
      <c r="S17" s="3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27"/>
      <c r="AJ17" s="3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27"/>
      <c r="BA17" s="3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27"/>
      <c r="BR17" s="3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27"/>
      <c r="CI17" s="3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27"/>
      <c r="CZ17" s="3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27"/>
      <c r="DQ17" s="3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27"/>
    </row>
    <row r="18" spans="1:136" ht="18" customHeight="1" x14ac:dyDescent="0.5">
      <c r="A18" s="18"/>
      <c r="B18" s="28"/>
      <c r="C18" s="90" t="str">
        <f ca="1">GetHexStr(C3:P16)</f>
        <v>(0,0,6,);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2"/>
      <c r="Q18" s="27"/>
      <c r="S18" s="28"/>
      <c r="T18" s="90" t="str">
        <f ca="1">GetHexStr(T3:AG16)</f>
        <v>(-2,0,1,);(0,0,1,);(2,0,1,);(4,0,1,);</v>
      </c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2"/>
      <c r="AH18" s="27"/>
      <c r="AJ18" s="28"/>
      <c r="AK18" s="90" t="str">
        <f ca="1">GetHexStr(AK3:AX16)</f>
        <v>(2,-4,1,);(1,-2,1,);(0,0,1,);(-1,2,1,);</v>
      </c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2"/>
      <c r="AY18" s="27"/>
      <c r="BA18" s="28"/>
      <c r="BB18" s="90" t="str">
        <f ca="1">GetHexStr(BB3:BO16)</f>
        <v>(-1,-2,1,);(0,0,1,);(1,2,1,);(2,4,1,);</v>
      </c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2"/>
      <c r="BP18" s="27"/>
      <c r="BR18" s="28"/>
      <c r="BS18" s="90" t="str">
        <f ca="1">GetHexStr(BS3:CF16)</f>
        <v>(1,-2,5,);(-2,0,5,);(0,0,5,);(2,0,5,);</v>
      </c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2"/>
      <c r="CG18" s="27"/>
      <c r="CI18" s="28"/>
      <c r="CJ18" s="90" t="str">
        <f ca="1">GetHexStr(CJ3:CW16)</f>
        <v>(-1,-2,5,);(-2,0,5,);(0,0,5,);(2,0,5,);</v>
      </c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2"/>
      <c r="CX18" s="27"/>
      <c r="CZ18" s="28"/>
      <c r="DA18" s="90" t="str">
        <f ca="1">GetHexStr(DA3:DN16)</f>
        <v>(-2,0,5,);(0,0,5,);(2,0,5,);(-1,2,5,);</v>
      </c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2"/>
      <c r="DO18" s="27"/>
      <c r="DQ18" s="28"/>
      <c r="DR18" s="90" t="str">
        <f ca="1">GetHexStr(DR3:EE16)</f>
        <v>(-2,0,5,);(0,0,5,);(2,0,5,);(1,2,5,);</v>
      </c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2"/>
      <c r="EF18" s="27"/>
    </row>
    <row r="19" spans="1:136" ht="18" customHeight="1" x14ac:dyDescent="0.5">
      <c r="B19" s="28"/>
      <c r="C19" s="93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5"/>
      <c r="Q19" s="27"/>
      <c r="S19" s="28"/>
      <c r="T19" s="93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5"/>
      <c r="AH19" s="27"/>
      <c r="AJ19" s="28"/>
      <c r="AK19" s="93"/>
      <c r="AL19" s="94"/>
      <c r="AM19" s="94"/>
      <c r="AN19" s="94"/>
      <c r="AO19" s="94"/>
      <c r="AP19" s="94"/>
      <c r="AQ19" s="94"/>
      <c r="AR19" s="94"/>
      <c r="AS19" s="94"/>
      <c r="AT19" s="94"/>
      <c r="AU19" s="94"/>
      <c r="AV19" s="94"/>
      <c r="AW19" s="94"/>
      <c r="AX19" s="95"/>
      <c r="AY19" s="27"/>
      <c r="BA19" s="28"/>
      <c r="BB19" s="93"/>
      <c r="BC19" s="94"/>
      <c r="BD19" s="94"/>
      <c r="BE19" s="94"/>
      <c r="BF19" s="94"/>
      <c r="BG19" s="94"/>
      <c r="BH19" s="94"/>
      <c r="BI19" s="94"/>
      <c r="BJ19" s="94"/>
      <c r="BK19" s="94"/>
      <c r="BL19" s="94"/>
      <c r="BM19" s="94"/>
      <c r="BN19" s="94"/>
      <c r="BO19" s="95"/>
      <c r="BP19" s="27"/>
      <c r="BR19" s="28"/>
      <c r="BS19" s="93"/>
      <c r="BT19" s="94"/>
      <c r="BU19" s="94"/>
      <c r="BV19" s="94"/>
      <c r="BW19" s="94"/>
      <c r="BX19" s="94"/>
      <c r="BY19" s="94"/>
      <c r="BZ19" s="94"/>
      <c r="CA19" s="94"/>
      <c r="CB19" s="94"/>
      <c r="CC19" s="94"/>
      <c r="CD19" s="94"/>
      <c r="CE19" s="94"/>
      <c r="CF19" s="95"/>
      <c r="CG19" s="27"/>
      <c r="CI19" s="28"/>
      <c r="CJ19" s="93"/>
      <c r="CK19" s="94"/>
      <c r="CL19" s="94"/>
      <c r="CM19" s="94"/>
      <c r="CN19" s="94"/>
      <c r="CO19" s="94"/>
      <c r="CP19" s="94"/>
      <c r="CQ19" s="94"/>
      <c r="CR19" s="94"/>
      <c r="CS19" s="94"/>
      <c r="CT19" s="94"/>
      <c r="CU19" s="94"/>
      <c r="CV19" s="94"/>
      <c r="CW19" s="95"/>
      <c r="CX19" s="27"/>
      <c r="CZ19" s="28"/>
      <c r="DA19" s="93"/>
      <c r="DB19" s="94"/>
      <c r="DC19" s="94"/>
      <c r="DD19" s="94"/>
      <c r="DE19" s="94"/>
      <c r="DF19" s="94"/>
      <c r="DG19" s="94"/>
      <c r="DH19" s="94"/>
      <c r="DI19" s="94"/>
      <c r="DJ19" s="94"/>
      <c r="DK19" s="94"/>
      <c r="DL19" s="94"/>
      <c r="DM19" s="94"/>
      <c r="DN19" s="95"/>
      <c r="DO19" s="27"/>
      <c r="DQ19" s="28"/>
      <c r="DR19" s="93"/>
      <c r="DS19" s="94"/>
      <c r="DT19" s="94"/>
      <c r="DU19" s="94"/>
      <c r="DV19" s="94"/>
      <c r="DW19" s="94"/>
      <c r="DX19" s="94"/>
      <c r="DY19" s="94"/>
      <c r="DZ19" s="94"/>
      <c r="EA19" s="94"/>
      <c r="EB19" s="94"/>
      <c r="EC19" s="94"/>
      <c r="ED19" s="94"/>
      <c r="EE19" s="95"/>
      <c r="EF19" s="27"/>
    </row>
    <row r="20" spans="1:136" ht="18" customHeight="1" thickBot="1" x14ac:dyDescent="0.55000000000000004"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1"/>
      <c r="S20" s="29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1"/>
      <c r="AJ20" s="29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1"/>
      <c r="BA20" s="29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1"/>
      <c r="BR20" s="29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1"/>
      <c r="CI20" s="29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1"/>
      <c r="CZ20" s="29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1"/>
      <c r="DQ20" s="29"/>
      <c r="DR20" s="30"/>
      <c r="DS20" s="30"/>
      <c r="DT20" s="30"/>
      <c r="DU20" s="30"/>
      <c r="DV20" s="30"/>
      <c r="DW20" s="30"/>
      <c r="DX20" s="30"/>
      <c r="DY20" s="30"/>
      <c r="DZ20" s="30"/>
      <c r="EA20" s="30"/>
      <c r="EB20" s="30"/>
      <c r="EC20" s="30"/>
      <c r="ED20" s="30"/>
      <c r="EE20" s="30"/>
      <c r="EF20" s="31"/>
    </row>
    <row r="21" spans="1:136" ht="18" customHeight="1" thickBot="1" x14ac:dyDescent="0.55000000000000004"/>
    <row r="22" spans="1:136" ht="18" customHeight="1" x14ac:dyDescent="0.5">
      <c r="A22" s="18"/>
      <c r="B22" s="102">
        <v>2</v>
      </c>
      <c r="C22" s="10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R22" s="20"/>
      <c r="S22" s="102">
        <v>2</v>
      </c>
      <c r="T22" s="103"/>
      <c r="U22" s="55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4"/>
      <c r="AJ22" s="102">
        <v>2</v>
      </c>
      <c r="AK22" s="10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4"/>
      <c r="BA22" s="102">
        <v>2</v>
      </c>
      <c r="BB22" s="10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4"/>
      <c r="BR22" s="102">
        <v>2</v>
      </c>
      <c r="BS22" s="10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4"/>
      <c r="CI22" s="102">
        <v>2</v>
      </c>
      <c r="CJ22" s="10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4"/>
      <c r="CZ22" s="102">
        <v>2</v>
      </c>
      <c r="DA22" s="10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4"/>
      <c r="DQ22" s="102">
        <v>2</v>
      </c>
      <c r="DR22" s="10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4"/>
    </row>
    <row r="23" spans="1:136" ht="18" customHeight="1" thickBot="1" x14ac:dyDescent="0.55000000000000004">
      <c r="A23" s="18"/>
      <c r="B23" s="104"/>
      <c r="C23" s="105"/>
      <c r="D23" s="22"/>
      <c r="E23" s="22"/>
      <c r="F23" s="62"/>
      <c r="G23" s="63"/>
      <c r="H23" s="62"/>
      <c r="I23" s="63"/>
      <c r="J23" s="62"/>
      <c r="K23" s="63"/>
      <c r="L23" s="62"/>
      <c r="M23" s="63"/>
      <c r="N23" s="22"/>
      <c r="O23" s="22"/>
      <c r="P23" s="21"/>
      <c r="Q23" s="26"/>
      <c r="R23" s="20"/>
      <c r="S23" s="104"/>
      <c r="T23" s="105"/>
      <c r="U23" s="22"/>
      <c r="V23" s="22"/>
      <c r="W23" s="62"/>
      <c r="X23" s="63"/>
      <c r="Y23" s="62"/>
      <c r="Z23" s="63"/>
      <c r="AA23" s="62"/>
      <c r="AB23" s="63"/>
      <c r="AC23" s="62"/>
      <c r="AD23" s="63"/>
      <c r="AE23" s="22"/>
      <c r="AF23" s="22"/>
      <c r="AG23" s="21"/>
      <c r="AH23" s="26"/>
      <c r="AJ23" s="104"/>
      <c r="AK23" s="105"/>
      <c r="AL23" s="22"/>
      <c r="AM23" s="22"/>
      <c r="AN23" s="62"/>
      <c r="AO23" s="63"/>
      <c r="AP23" s="62"/>
      <c r="AQ23" s="63"/>
      <c r="AR23" s="62"/>
      <c r="AS23" s="63"/>
      <c r="AT23" s="62"/>
      <c r="AU23" s="63"/>
      <c r="AV23" s="22"/>
      <c r="AW23" s="22"/>
      <c r="AX23" s="21"/>
      <c r="AY23" s="26"/>
      <c r="BA23" s="104"/>
      <c r="BB23" s="105"/>
      <c r="BC23" s="22"/>
      <c r="BD23" s="22"/>
      <c r="BE23" s="62"/>
      <c r="BF23" s="63"/>
      <c r="BG23" s="62"/>
      <c r="BH23" s="63"/>
      <c r="BI23" s="62"/>
      <c r="BJ23" s="63"/>
      <c r="BK23" s="62"/>
      <c r="BL23" s="63"/>
      <c r="BM23" s="22"/>
      <c r="BN23" s="22"/>
      <c r="BO23" s="21"/>
      <c r="BP23" s="26"/>
      <c r="BR23" s="104"/>
      <c r="BS23" s="105"/>
      <c r="BT23" s="22"/>
      <c r="BU23" s="22"/>
      <c r="BV23" s="62"/>
      <c r="BW23" s="63"/>
      <c r="BX23" s="62"/>
      <c r="BY23" s="63"/>
      <c r="BZ23" s="62"/>
      <c r="CA23" s="63"/>
      <c r="CB23" s="62"/>
      <c r="CC23" s="63"/>
      <c r="CD23" s="22"/>
      <c r="CE23" s="22"/>
      <c r="CF23" s="21"/>
      <c r="CG23" s="26"/>
      <c r="CI23" s="104"/>
      <c r="CJ23" s="105"/>
      <c r="CK23" s="22"/>
      <c r="CL23" s="22"/>
      <c r="CM23" s="62"/>
      <c r="CN23" s="63"/>
      <c r="CO23" s="62"/>
      <c r="CP23" s="63"/>
      <c r="CQ23" s="62"/>
      <c r="CR23" s="63"/>
      <c r="CS23" s="62"/>
      <c r="CT23" s="63"/>
      <c r="CU23" s="22"/>
      <c r="CV23" s="22"/>
      <c r="CW23" s="21"/>
      <c r="CX23" s="26"/>
      <c r="CZ23" s="104"/>
      <c r="DA23" s="105"/>
      <c r="DB23" s="22"/>
      <c r="DC23" s="22"/>
      <c r="DD23" s="62"/>
      <c r="DE23" s="63"/>
      <c r="DF23" s="62"/>
      <c r="DG23" s="63"/>
      <c r="DH23" s="62"/>
      <c r="DI23" s="63"/>
      <c r="DJ23" s="62"/>
      <c r="DK23" s="63"/>
      <c r="DL23" s="22"/>
      <c r="DM23" s="22"/>
      <c r="DN23" s="21"/>
      <c r="DO23" s="26"/>
      <c r="DQ23" s="104"/>
      <c r="DR23" s="105"/>
      <c r="DS23" s="22"/>
      <c r="DT23" s="22"/>
      <c r="DU23" s="62"/>
      <c r="DV23" s="63"/>
      <c r="DW23" s="62"/>
      <c r="DX23" s="63"/>
      <c r="DY23" s="62"/>
      <c r="DZ23" s="63"/>
      <c r="EA23" s="62"/>
      <c r="EB23" s="63"/>
      <c r="EC23" s="22"/>
      <c r="ED23" s="22"/>
      <c r="EE23" s="21"/>
      <c r="EF23" s="26"/>
    </row>
    <row r="24" spans="1:136" ht="18" customHeight="1" x14ac:dyDescent="0.5">
      <c r="A24" s="18"/>
      <c r="B24" s="25"/>
      <c r="C24" s="21"/>
      <c r="D24" s="22"/>
      <c r="E24" s="22"/>
      <c r="F24" s="64"/>
      <c r="G24" s="65"/>
      <c r="H24" s="64"/>
      <c r="I24" s="65"/>
      <c r="J24" s="64"/>
      <c r="K24" s="65"/>
      <c r="L24" s="64"/>
      <c r="M24" s="65"/>
      <c r="N24" s="22"/>
      <c r="O24" s="22"/>
      <c r="P24" s="21"/>
      <c r="Q24" s="26"/>
      <c r="R24" s="20"/>
      <c r="S24" s="25"/>
      <c r="T24" s="21"/>
      <c r="U24" s="22"/>
      <c r="V24" s="22"/>
      <c r="W24" s="64"/>
      <c r="X24" s="65"/>
      <c r="Y24" s="64"/>
      <c r="Z24" s="65"/>
      <c r="AA24" s="64"/>
      <c r="AB24" s="65"/>
      <c r="AC24" s="64"/>
      <c r="AD24" s="65"/>
      <c r="AE24" s="22"/>
      <c r="AF24" s="22"/>
      <c r="AG24" s="21"/>
      <c r="AH24" s="26"/>
      <c r="AJ24" s="25"/>
      <c r="AK24" s="21"/>
      <c r="AL24" s="22"/>
      <c r="AM24" s="22"/>
      <c r="AN24" s="64"/>
      <c r="AO24" s="65"/>
      <c r="AP24" s="64"/>
      <c r="AQ24" s="65"/>
      <c r="AR24" s="64"/>
      <c r="AS24" s="65"/>
      <c r="AT24" s="64"/>
      <c r="AU24" s="65"/>
      <c r="AV24" s="22"/>
      <c r="AW24" s="22"/>
      <c r="AX24" s="21"/>
      <c r="AY24" s="26"/>
      <c r="BA24" s="25"/>
      <c r="BB24" s="21"/>
      <c r="BC24" s="22"/>
      <c r="BD24" s="22"/>
      <c r="BE24" s="64"/>
      <c r="BF24" s="65"/>
      <c r="BG24" s="64"/>
      <c r="BH24" s="65"/>
      <c r="BI24" s="64"/>
      <c r="BJ24" s="65"/>
      <c r="BK24" s="64"/>
      <c r="BL24" s="65"/>
      <c r="BM24" s="22"/>
      <c r="BN24" s="22"/>
      <c r="BO24" s="21"/>
      <c r="BP24" s="26"/>
      <c r="BR24" s="25"/>
      <c r="BS24" s="21"/>
      <c r="BT24" s="22"/>
      <c r="BU24" s="22"/>
      <c r="BV24" s="64"/>
      <c r="BW24" s="65"/>
      <c r="BX24" s="64"/>
      <c r="BY24" s="65"/>
      <c r="BZ24" s="64"/>
      <c r="CA24" s="65"/>
      <c r="CB24" s="64"/>
      <c r="CC24" s="65"/>
      <c r="CD24" s="22"/>
      <c r="CE24" s="22"/>
      <c r="CF24" s="21"/>
      <c r="CG24" s="26"/>
      <c r="CI24" s="25"/>
      <c r="CJ24" s="21"/>
      <c r="CK24" s="22"/>
      <c r="CL24" s="22"/>
      <c r="CM24" s="64"/>
      <c r="CN24" s="65"/>
      <c r="CO24" s="64"/>
      <c r="CP24" s="65"/>
      <c r="CQ24" s="64"/>
      <c r="CR24" s="65"/>
      <c r="CS24" s="64"/>
      <c r="CT24" s="65"/>
      <c r="CU24" s="22"/>
      <c r="CV24" s="22"/>
      <c r="CW24" s="21"/>
      <c r="CX24" s="26"/>
      <c r="CZ24" s="25"/>
      <c r="DA24" s="21"/>
      <c r="DB24" s="22"/>
      <c r="DC24" s="22"/>
      <c r="DD24" s="64"/>
      <c r="DE24" s="65"/>
      <c r="DF24" s="64"/>
      <c r="DG24" s="65"/>
      <c r="DH24" s="64"/>
      <c r="DI24" s="65"/>
      <c r="DJ24" s="64"/>
      <c r="DK24" s="65"/>
      <c r="DL24" s="22"/>
      <c r="DM24" s="22"/>
      <c r="DN24" s="21"/>
      <c r="DO24" s="26"/>
      <c r="DQ24" s="25"/>
      <c r="DR24" s="21"/>
      <c r="DS24" s="22"/>
      <c r="DT24" s="22"/>
      <c r="DU24" s="64"/>
      <c r="DV24" s="65"/>
      <c r="DW24" s="64"/>
      <c r="DX24" s="65"/>
      <c r="DY24" s="64"/>
      <c r="DZ24" s="65"/>
      <c r="EA24" s="64"/>
      <c r="EB24" s="65"/>
      <c r="EC24" s="22"/>
      <c r="ED24" s="22"/>
      <c r="EE24" s="21"/>
      <c r="EF24" s="26"/>
    </row>
    <row r="25" spans="1:136" ht="18" customHeight="1" x14ac:dyDescent="0.5">
      <c r="A25" s="18"/>
      <c r="B25" s="25"/>
      <c r="C25" s="22"/>
      <c r="D25" s="22"/>
      <c r="E25" s="62"/>
      <c r="F25" s="63"/>
      <c r="G25" s="62"/>
      <c r="H25" s="63"/>
      <c r="I25" s="62"/>
      <c r="J25" s="63"/>
      <c r="K25" s="62"/>
      <c r="L25" s="63"/>
      <c r="M25" s="62"/>
      <c r="N25" s="63"/>
      <c r="O25" s="22"/>
      <c r="P25" s="22"/>
      <c r="Q25" s="26"/>
      <c r="R25" s="20"/>
      <c r="S25" s="25"/>
      <c r="T25" s="22"/>
      <c r="U25" s="22"/>
      <c r="V25" s="62"/>
      <c r="W25" s="63"/>
      <c r="X25" s="62"/>
      <c r="Y25" s="63"/>
      <c r="Z25" s="62"/>
      <c r="AA25" s="63"/>
      <c r="AB25" s="62"/>
      <c r="AC25" s="63"/>
      <c r="AD25" s="62"/>
      <c r="AE25" s="63"/>
      <c r="AF25" s="22"/>
      <c r="AG25" s="22"/>
      <c r="AH25" s="26"/>
      <c r="AJ25" s="25"/>
      <c r="AK25" s="22"/>
      <c r="AL25" s="22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22"/>
      <c r="AX25" s="22"/>
      <c r="AY25" s="26"/>
      <c r="BA25" s="25"/>
      <c r="BB25" s="22"/>
      <c r="BC25" s="22"/>
      <c r="BD25" s="62"/>
      <c r="BE25" s="63"/>
      <c r="BF25" s="62"/>
      <c r="BG25" s="63"/>
      <c r="BH25" s="62"/>
      <c r="BI25" s="63"/>
      <c r="BJ25" s="62"/>
      <c r="BK25" s="63"/>
      <c r="BL25" s="62"/>
      <c r="BM25" s="63"/>
      <c r="BN25" s="22"/>
      <c r="BO25" s="22"/>
      <c r="BP25" s="26"/>
      <c r="BR25" s="25"/>
      <c r="BS25" s="22"/>
      <c r="BT25" s="22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22"/>
      <c r="CF25" s="22"/>
      <c r="CG25" s="26"/>
      <c r="CI25" s="25"/>
      <c r="CJ25" s="22"/>
      <c r="CK25" s="22"/>
      <c r="CL25" s="62"/>
      <c r="CM25" s="63"/>
      <c r="CN25" s="62"/>
      <c r="CO25" s="63"/>
      <c r="CP25" s="62"/>
      <c r="CQ25" s="63"/>
      <c r="CR25" s="62"/>
      <c r="CS25" s="63"/>
      <c r="CT25" s="62"/>
      <c r="CU25" s="63"/>
      <c r="CV25" s="22"/>
      <c r="CW25" s="22"/>
      <c r="CX25" s="26"/>
      <c r="CZ25" s="25"/>
      <c r="DA25" s="22"/>
      <c r="DB25" s="22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22"/>
      <c r="DN25" s="22"/>
      <c r="DO25" s="26"/>
      <c r="DQ25" s="25"/>
      <c r="DR25" s="22"/>
      <c r="DS25" s="22"/>
      <c r="DT25" s="62"/>
      <c r="DU25" s="63"/>
      <c r="DV25" s="62"/>
      <c r="DW25" s="63"/>
      <c r="DX25" s="62"/>
      <c r="DY25" s="63"/>
      <c r="DZ25" s="62"/>
      <c r="EA25" s="63"/>
      <c r="EB25" s="62"/>
      <c r="EC25" s="63"/>
      <c r="ED25" s="22"/>
      <c r="EE25" s="22"/>
      <c r="EF25" s="26"/>
    </row>
    <row r="26" spans="1:136" ht="18" customHeight="1" x14ac:dyDescent="0.5">
      <c r="A26" s="18"/>
      <c r="B26" s="25"/>
      <c r="C26" s="22"/>
      <c r="D26" s="22"/>
      <c r="E26" s="64"/>
      <c r="F26" s="65"/>
      <c r="G26" s="64"/>
      <c r="H26" s="65"/>
      <c r="I26" s="64"/>
      <c r="J26" s="65"/>
      <c r="K26" s="64"/>
      <c r="L26" s="65"/>
      <c r="M26" s="64"/>
      <c r="N26" s="65"/>
      <c r="O26" s="22"/>
      <c r="P26" s="22"/>
      <c r="Q26" s="26"/>
      <c r="R26" s="20"/>
      <c r="S26" s="25"/>
      <c r="T26" s="22"/>
      <c r="U26" s="22"/>
      <c r="V26" s="64"/>
      <c r="W26" s="65"/>
      <c r="X26" s="64"/>
      <c r="Y26" s="65"/>
      <c r="Z26" s="64"/>
      <c r="AA26" s="65"/>
      <c r="AB26" s="64"/>
      <c r="AC26" s="65"/>
      <c r="AD26" s="64"/>
      <c r="AE26" s="65"/>
      <c r="AF26" s="22"/>
      <c r="AG26" s="22"/>
      <c r="AH26" s="26"/>
      <c r="AJ26" s="25"/>
      <c r="AK26" s="22"/>
      <c r="AL26" s="22"/>
      <c r="AM26" s="64"/>
      <c r="AN26" s="65"/>
      <c r="AO26" s="64"/>
      <c r="AP26" s="65"/>
      <c r="AQ26" s="64"/>
      <c r="AR26" s="65"/>
      <c r="AS26" s="64"/>
      <c r="AT26" s="65"/>
      <c r="AU26" s="64"/>
      <c r="AV26" s="65"/>
      <c r="AW26" s="22"/>
      <c r="AX26" s="22"/>
      <c r="AY26" s="26"/>
      <c r="BA26" s="25"/>
      <c r="BB26" s="22"/>
      <c r="BC26" s="22"/>
      <c r="BD26" s="64"/>
      <c r="BE26" s="65"/>
      <c r="BF26" s="64"/>
      <c r="BG26" s="65"/>
      <c r="BH26" s="64"/>
      <c r="BI26" s="65"/>
      <c r="BJ26" s="64"/>
      <c r="BK26" s="65"/>
      <c r="BL26" s="64"/>
      <c r="BM26" s="65"/>
      <c r="BN26" s="22"/>
      <c r="BO26" s="22"/>
      <c r="BP26" s="26"/>
      <c r="BR26" s="25"/>
      <c r="BS26" s="22"/>
      <c r="BT26" s="22"/>
      <c r="BU26" s="64"/>
      <c r="BV26" s="65"/>
      <c r="BW26" s="64"/>
      <c r="BX26" s="65"/>
      <c r="BY26" s="64"/>
      <c r="BZ26" s="65"/>
      <c r="CA26" s="64"/>
      <c r="CB26" s="65"/>
      <c r="CC26" s="64"/>
      <c r="CD26" s="65"/>
      <c r="CE26" s="22"/>
      <c r="CF26" s="22"/>
      <c r="CG26" s="26"/>
      <c r="CI26" s="25"/>
      <c r="CJ26" s="22"/>
      <c r="CK26" s="22"/>
      <c r="CL26" s="64"/>
      <c r="CM26" s="65"/>
      <c r="CN26" s="64"/>
      <c r="CO26" s="65"/>
      <c r="CP26" s="64"/>
      <c r="CQ26" s="65"/>
      <c r="CR26" s="64"/>
      <c r="CS26" s="65"/>
      <c r="CT26" s="64"/>
      <c r="CU26" s="65"/>
      <c r="CV26" s="22"/>
      <c r="CW26" s="22"/>
      <c r="CX26" s="26"/>
      <c r="CZ26" s="25"/>
      <c r="DA26" s="22"/>
      <c r="DB26" s="22"/>
      <c r="DC26" s="64"/>
      <c r="DD26" s="65"/>
      <c r="DE26" s="64"/>
      <c r="DF26" s="65"/>
      <c r="DG26" s="64"/>
      <c r="DH26" s="65"/>
      <c r="DI26" s="64"/>
      <c r="DJ26" s="65"/>
      <c r="DK26" s="64"/>
      <c r="DL26" s="65"/>
      <c r="DM26" s="22"/>
      <c r="DN26" s="22"/>
      <c r="DO26" s="26"/>
      <c r="DQ26" s="25"/>
      <c r="DR26" s="22"/>
      <c r="DS26" s="22"/>
      <c r="DT26" s="64"/>
      <c r="DU26" s="65"/>
      <c r="DV26" s="64"/>
      <c r="DW26" s="65"/>
      <c r="DX26" s="64"/>
      <c r="DY26" s="65"/>
      <c r="DZ26" s="64"/>
      <c r="EA26" s="65"/>
      <c r="EB26" s="64"/>
      <c r="EC26" s="65"/>
      <c r="ED26" s="22"/>
      <c r="EE26" s="22"/>
      <c r="EF26" s="26"/>
    </row>
    <row r="27" spans="1:136" ht="18" customHeight="1" x14ac:dyDescent="0.5">
      <c r="A27" s="18"/>
      <c r="B27" s="25"/>
      <c r="C27" s="22"/>
      <c r="D27" s="62"/>
      <c r="E27" s="63"/>
      <c r="F27" s="62"/>
      <c r="G27" s="63"/>
      <c r="H27" s="67">
        <v>2</v>
      </c>
      <c r="I27" s="63"/>
      <c r="J27" s="67">
        <v>2</v>
      </c>
      <c r="K27" s="63"/>
      <c r="L27" s="62"/>
      <c r="M27" s="63"/>
      <c r="N27" s="62"/>
      <c r="O27" s="63"/>
      <c r="P27" s="22"/>
      <c r="Q27" s="26"/>
      <c r="R27" s="20"/>
      <c r="S27" s="25"/>
      <c r="T27" s="22"/>
      <c r="U27" s="62"/>
      <c r="V27" s="63"/>
      <c r="W27" s="62"/>
      <c r="X27" s="63"/>
      <c r="Y27" s="67">
        <v>2</v>
      </c>
      <c r="Z27" s="63"/>
      <c r="AA27" s="67">
        <v>2</v>
      </c>
      <c r="AB27" s="63"/>
      <c r="AC27" s="62"/>
      <c r="AD27" s="63"/>
      <c r="AE27" s="62"/>
      <c r="AF27" s="63"/>
      <c r="AG27" s="22"/>
      <c r="AH27" s="26"/>
      <c r="AJ27" s="25"/>
      <c r="AK27" s="22"/>
      <c r="AL27" s="62"/>
      <c r="AM27" s="63"/>
      <c r="AN27" s="62"/>
      <c r="AO27" s="63"/>
      <c r="AP27" s="67">
        <v>2</v>
      </c>
      <c r="AQ27" s="63"/>
      <c r="AR27" s="62"/>
      <c r="AS27" s="63"/>
      <c r="AT27" s="62"/>
      <c r="AU27" s="63"/>
      <c r="AV27" s="62"/>
      <c r="AW27" s="63"/>
      <c r="AX27" s="22"/>
      <c r="AY27" s="26"/>
      <c r="BA27" s="25"/>
      <c r="BB27" s="22"/>
      <c r="BC27" s="62"/>
      <c r="BD27" s="63"/>
      <c r="BE27" s="62"/>
      <c r="BF27" s="63"/>
      <c r="BG27" s="62"/>
      <c r="BH27" s="63"/>
      <c r="BI27" s="68">
        <v>4</v>
      </c>
      <c r="BJ27" s="63"/>
      <c r="BK27" s="62"/>
      <c r="BL27" s="63"/>
      <c r="BM27" s="62"/>
      <c r="BN27" s="63"/>
      <c r="BO27" s="22"/>
      <c r="BP27" s="26"/>
      <c r="BR27" s="25"/>
      <c r="BS27" s="22"/>
      <c r="BT27" s="62"/>
      <c r="BU27" s="63"/>
      <c r="BV27" s="62"/>
      <c r="BW27" s="63"/>
      <c r="BX27" s="62"/>
      <c r="BY27" s="63"/>
      <c r="BZ27" s="68">
        <v>4</v>
      </c>
      <c r="CA27" s="63"/>
      <c r="CB27" s="62"/>
      <c r="CC27" s="63"/>
      <c r="CD27" s="62"/>
      <c r="CE27" s="63"/>
      <c r="CF27" s="22"/>
      <c r="CG27" s="26"/>
      <c r="CI27" s="25"/>
      <c r="CJ27" s="22"/>
      <c r="CK27" s="62"/>
      <c r="CL27" s="63"/>
      <c r="CM27" s="62"/>
      <c r="CN27" s="63"/>
      <c r="CO27" s="62"/>
      <c r="CP27" s="63"/>
      <c r="CQ27" s="68">
        <v>4</v>
      </c>
      <c r="CR27" s="63"/>
      <c r="CS27" s="62"/>
      <c r="CT27" s="63"/>
      <c r="CU27" s="62"/>
      <c r="CV27" s="63"/>
      <c r="CW27" s="22"/>
      <c r="CX27" s="26"/>
      <c r="CZ27" s="25"/>
      <c r="DA27" s="22"/>
      <c r="DB27" s="62"/>
      <c r="DC27" s="63"/>
      <c r="DD27" s="62"/>
      <c r="DE27" s="63"/>
      <c r="DF27" s="68">
        <v>4</v>
      </c>
      <c r="DG27" s="63"/>
      <c r="DH27" s="68">
        <v>4</v>
      </c>
      <c r="DI27" s="63"/>
      <c r="DJ27" s="62"/>
      <c r="DK27" s="63"/>
      <c r="DL27" s="62"/>
      <c r="DM27" s="63"/>
      <c r="DN27" s="22"/>
      <c r="DO27" s="26"/>
      <c r="DQ27" s="25"/>
      <c r="DR27" s="22"/>
      <c r="DS27" s="62"/>
      <c r="DT27" s="63"/>
      <c r="DU27" s="62"/>
      <c r="DV27" s="63"/>
      <c r="DW27" s="68">
        <v>4</v>
      </c>
      <c r="DX27" s="63"/>
      <c r="DY27" s="62"/>
      <c r="DZ27" s="63"/>
      <c r="EA27" s="62"/>
      <c r="EB27" s="63"/>
      <c r="EC27" s="62"/>
      <c r="ED27" s="63"/>
      <c r="EE27" s="22"/>
      <c r="EF27" s="26"/>
    </row>
    <row r="28" spans="1:136" ht="18" customHeight="1" x14ac:dyDescent="0.5">
      <c r="A28" s="18"/>
      <c r="B28" s="25"/>
      <c r="C28" s="22"/>
      <c r="D28" s="64"/>
      <c r="E28" s="65"/>
      <c r="F28" s="64"/>
      <c r="G28" s="65"/>
      <c r="H28" s="64"/>
      <c r="I28" s="65"/>
      <c r="J28" s="64"/>
      <c r="K28" s="65"/>
      <c r="L28" s="64"/>
      <c r="M28" s="65"/>
      <c r="N28" s="64"/>
      <c r="O28" s="65"/>
      <c r="P28" s="22"/>
      <c r="Q28" s="26"/>
      <c r="R28" s="20"/>
      <c r="S28" s="25"/>
      <c r="T28" s="22"/>
      <c r="U28" s="64"/>
      <c r="V28" s="65"/>
      <c r="W28" s="64"/>
      <c r="X28" s="65"/>
      <c r="Y28" s="64"/>
      <c r="Z28" s="65"/>
      <c r="AA28" s="64"/>
      <c r="AB28" s="65"/>
      <c r="AC28" s="64"/>
      <c r="AD28" s="65"/>
      <c r="AE28" s="64"/>
      <c r="AF28" s="65"/>
      <c r="AG28" s="22"/>
      <c r="AH28" s="26"/>
      <c r="AJ28" s="25"/>
      <c r="AK28" s="22"/>
      <c r="AL28" s="64"/>
      <c r="AM28" s="65"/>
      <c r="AN28" s="64"/>
      <c r="AO28" s="65"/>
      <c r="AP28" s="64"/>
      <c r="AQ28" s="65"/>
      <c r="AR28" s="64"/>
      <c r="AS28" s="65"/>
      <c r="AT28" s="64"/>
      <c r="AU28" s="65"/>
      <c r="AV28" s="64"/>
      <c r="AW28" s="65"/>
      <c r="AX28" s="22"/>
      <c r="AY28" s="26"/>
      <c r="BA28" s="25"/>
      <c r="BB28" s="22"/>
      <c r="BC28" s="64"/>
      <c r="BD28" s="65"/>
      <c r="BE28" s="64"/>
      <c r="BF28" s="65"/>
      <c r="BG28" s="64"/>
      <c r="BH28" s="65"/>
      <c r="BI28" s="64"/>
      <c r="BJ28" s="65"/>
      <c r="BK28" s="64"/>
      <c r="BL28" s="65"/>
      <c r="BM28" s="64"/>
      <c r="BN28" s="65"/>
      <c r="BO28" s="22"/>
      <c r="BP28" s="26"/>
      <c r="BR28" s="25"/>
      <c r="BS28" s="22"/>
      <c r="BT28" s="64"/>
      <c r="BU28" s="65"/>
      <c r="BV28" s="64"/>
      <c r="BW28" s="65"/>
      <c r="BX28" s="64"/>
      <c r="BY28" s="65"/>
      <c r="BZ28" s="64"/>
      <c r="CA28" s="65"/>
      <c r="CB28" s="64"/>
      <c r="CC28" s="65"/>
      <c r="CD28" s="64"/>
      <c r="CE28" s="65"/>
      <c r="CF28" s="22"/>
      <c r="CG28" s="26"/>
      <c r="CI28" s="25"/>
      <c r="CJ28" s="22"/>
      <c r="CK28" s="64"/>
      <c r="CL28" s="65"/>
      <c r="CM28" s="64"/>
      <c r="CN28" s="65"/>
      <c r="CO28" s="64"/>
      <c r="CP28" s="65"/>
      <c r="CQ28" s="64"/>
      <c r="CR28" s="65"/>
      <c r="CS28" s="64"/>
      <c r="CT28" s="65"/>
      <c r="CU28" s="64"/>
      <c r="CV28" s="65"/>
      <c r="CW28" s="22"/>
      <c r="CX28" s="26"/>
      <c r="CZ28" s="25"/>
      <c r="DA28" s="22"/>
      <c r="DB28" s="64"/>
      <c r="DC28" s="65"/>
      <c r="DD28" s="64"/>
      <c r="DE28" s="65"/>
      <c r="DF28" s="64"/>
      <c r="DG28" s="65"/>
      <c r="DH28" s="64"/>
      <c r="DI28" s="65"/>
      <c r="DJ28" s="64"/>
      <c r="DK28" s="65"/>
      <c r="DL28" s="64"/>
      <c r="DM28" s="65"/>
      <c r="DN28" s="22"/>
      <c r="DO28" s="26"/>
      <c r="DQ28" s="25"/>
      <c r="DR28" s="22"/>
      <c r="DS28" s="64"/>
      <c r="DT28" s="65"/>
      <c r="DU28" s="64"/>
      <c r="DV28" s="65"/>
      <c r="DW28" s="64"/>
      <c r="DX28" s="65"/>
      <c r="DY28" s="64"/>
      <c r="DZ28" s="65"/>
      <c r="EA28" s="64"/>
      <c r="EB28" s="65"/>
      <c r="EC28" s="64"/>
      <c r="ED28" s="65"/>
      <c r="EE28" s="22"/>
      <c r="EF28" s="26"/>
    </row>
    <row r="29" spans="1:136" ht="18" customHeight="1" x14ac:dyDescent="0.5">
      <c r="A29" s="18"/>
      <c r="B29" s="25"/>
      <c r="C29" s="62"/>
      <c r="D29" s="63"/>
      <c r="E29" s="62"/>
      <c r="F29" s="63"/>
      <c r="G29" s="67">
        <v>2</v>
      </c>
      <c r="H29" s="63"/>
      <c r="I29" s="67">
        <v>2</v>
      </c>
      <c r="J29" s="63"/>
      <c r="K29" s="62"/>
      <c r="L29" s="63"/>
      <c r="M29" s="62"/>
      <c r="N29" s="63"/>
      <c r="O29" s="62"/>
      <c r="P29" s="63"/>
      <c r="Q29" s="26"/>
      <c r="R29" s="20"/>
      <c r="S29" s="25"/>
      <c r="T29" s="62"/>
      <c r="U29" s="63"/>
      <c r="V29" s="62"/>
      <c r="W29" s="63"/>
      <c r="X29" s="62"/>
      <c r="Y29" s="63"/>
      <c r="Z29" s="67">
        <v>2</v>
      </c>
      <c r="AA29" s="63"/>
      <c r="AB29" s="67">
        <v>2</v>
      </c>
      <c r="AC29" s="63"/>
      <c r="AD29" s="62"/>
      <c r="AE29" s="63"/>
      <c r="AF29" s="62"/>
      <c r="AG29" s="63"/>
      <c r="AH29" s="26"/>
      <c r="AJ29" s="25"/>
      <c r="AK29" s="62"/>
      <c r="AL29" s="63"/>
      <c r="AM29" s="62"/>
      <c r="AN29" s="63"/>
      <c r="AO29" s="67">
        <v>2</v>
      </c>
      <c r="AP29" s="63"/>
      <c r="AQ29" s="67">
        <v>2</v>
      </c>
      <c r="AR29" s="63"/>
      <c r="AS29" s="62"/>
      <c r="AT29" s="63"/>
      <c r="AU29" s="62"/>
      <c r="AV29" s="63"/>
      <c r="AW29" s="62"/>
      <c r="AX29" s="63"/>
      <c r="AY29" s="26"/>
      <c r="BA29" s="25"/>
      <c r="BB29" s="62"/>
      <c r="BC29" s="63"/>
      <c r="BD29" s="62"/>
      <c r="BE29" s="63"/>
      <c r="BF29" s="68">
        <v>4</v>
      </c>
      <c r="BG29" s="63"/>
      <c r="BH29" s="68">
        <v>4</v>
      </c>
      <c r="BI29" s="63"/>
      <c r="BJ29" s="62"/>
      <c r="BK29" s="63"/>
      <c r="BL29" s="62"/>
      <c r="BM29" s="63"/>
      <c r="BN29" s="62"/>
      <c r="BO29" s="63"/>
      <c r="BP29" s="26"/>
      <c r="BR29" s="25"/>
      <c r="BS29" s="62"/>
      <c r="BT29" s="63"/>
      <c r="BU29" s="62"/>
      <c r="BV29" s="63"/>
      <c r="BW29" s="62"/>
      <c r="BX29" s="63"/>
      <c r="BY29" s="68">
        <v>4</v>
      </c>
      <c r="BZ29" s="63"/>
      <c r="CA29" s="62"/>
      <c r="CB29" s="63"/>
      <c r="CC29" s="62"/>
      <c r="CD29" s="63"/>
      <c r="CE29" s="62"/>
      <c r="CF29" s="63"/>
      <c r="CG29" s="26"/>
      <c r="CI29" s="25"/>
      <c r="CJ29" s="62"/>
      <c r="CK29" s="63"/>
      <c r="CL29" s="62"/>
      <c r="CM29" s="63"/>
      <c r="CN29" s="62"/>
      <c r="CO29" s="63"/>
      <c r="CP29" s="68">
        <v>4</v>
      </c>
      <c r="CQ29" s="63"/>
      <c r="CR29" s="68">
        <v>4</v>
      </c>
      <c r="CS29" s="63"/>
      <c r="CT29" s="62"/>
      <c r="CU29" s="63"/>
      <c r="CV29" s="62"/>
      <c r="CW29" s="63"/>
      <c r="CX29" s="26"/>
      <c r="CZ29" s="25"/>
      <c r="DA29" s="62"/>
      <c r="DB29" s="63"/>
      <c r="DC29" s="62"/>
      <c r="DD29" s="63"/>
      <c r="DE29" s="62"/>
      <c r="DF29" s="63"/>
      <c r="DG29" s="68">
        <v>4</v>
      </c>
      <c r="DH29" s="63"/>
      <c r="DI29" s="62"/>
      <c r="DJ29" s="63"/>
      <c r="DK29" s="62"/>
      <c r="DL29" s="63"/>
      <c r="DM29" s="62"/>
      <c r="DN29" s="63"/>
      <c r="DO29" s="26"/>
      <c r="DQ29" s="25"/>
      <c r="DR29" s="62"/>
      <c r="DS29" s="63"/>
      <c r="DT29" s="62"/>
      <c r="DU29" s="63"/>
      <c r="DV29" s="62"/>
      <c r="DW29" s="63"/>
      <c r="DX29" s="68">
        <v>4</v>
      </c>
      <c r="DY29" s="63"/>
      <c r="DZ29" s="62"/>
      <c r="EA29" s="63"/>
      <c r="EB29" s="62"/>
      <c r="EC29" s="63"/>
      <c r="ED29" s="62"/>
      <c r="EE29" s="63"/>
      <c r="EF29" s="26"/>
    </row>
    <row r="30" spans="1:136" ht="18" customHeight="1" x14ac:dyDescent="0.5">
      <c r="A30" s="18"/>
      <c r="B30" s="25"/>
      <c r="C30" s="64"/>
      <c r="D30" s="65"/>
      <c r="E30" s="64"/>
      <c r="F30" s="65"/>
      <c r="G30" s="64"/>
      <c r="H30" s="65"/>
      <c r="I30" s="64"/>
      <c r="J30" s="65"/>
      <c r="K30" s="64"/>
      <c r="L30" s="65"/>
      <c r="M30" s="64"/>
      <c r="N30" s="65"/>
      <c r="O30" s="64"/>
      <c r="P30" s="65"/>
      <c r="Q30" s="26"/>
      <c r="R30" s="20"/>
      <c r="S30" s="25"/>
      <c r="T30" s="64"/>
      <c r="U30" s="65"/>
      <c r="V30" s="64"/>
      <c r="W30" s="65"/>
      <c r="X30" s="64"/>
      <c r="Y30" s="65"/>
      <c r="Z30" s="64"/>
      <c r="AA30" s="65"/>
      <c r="AB30" s="64"/>
      <c r="AC30" s="65"/>
      <c r="AD30" s="64"/>
      <c r="AE30" s="65"/>
      <c r="AF30" s="64"/>
      <c r="AG30" s="65"/>
      <c r="AH30" s="26"/>
      <c r="AJ30" s="25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4"/>
      <c r="AV30" s="65"/>
      <c r="AW30" s="64"/>
      <c r="AX30" s="65"/>
      <c r="AY30" s="26"/>
      <c r="BA30" s="25"/>
      <c r="BB30" s="64"/>
      <c r="BC30" s="65"/>
      <c r="BD30" s="64"/>
      <c r="BE30" s="65"/>
      <c r="BF30" s="64"/>
      <c r="BG30" s="65"/>
      <c r="BH30" s="64"/>
      <c r="BI30" s="65"/>
      <c r="BJ30" s="64"/>
      <c r="BK30" s="65"/>
      <c r="BL30" s="64"/>
      <c r="BM30" s="65"/>
      <c r="BN30" s="64"/>
      <c r="BO30" s="65"/>
      <c r="BP30" s="26"/>
      <c r="BR30" s="25"/>
      <c r="BS30" s="64"/>
      <c r="BT30" s="65"/>
      <c r="BU30" s="64"/>
      <c r="BV30" s="65"/>
      <c r="BW30" s="64"/>
      <c r="BX30" s="65"/>
      <c r="BY30" s="64"/>
      <c r="BZ30" s="65"/>
      <c r="CA30" s="64"/>
      <c r="CB30" s="65"/>
      <c r="CC30" s="64"/>
      <c r="CD30" s="65"/>
      <c r="CE30" s="64"/>
      <c r="CF30" s="65"/>
      <c r="CG30" s="26"/>
      <c r="CI30" s="25"/>
      <c r="CJ30" s="64"/>
      <c r="CK30" s="65"/>
      <c r="CL30" s="64"/>
      <c r="CM30" s="65"/>
      <c r="CN30" s="64"/>
      <c r="CO30" s="65"/>
      <c r="CP30" s="64"/>
      <c r="CQ30" s="65"/>
      <c r="CR30" s="64"/>
      <c r="CS30" s="65"/>
      <c r="CT30" s="64"/>
      <c r="CU30" s="65"/>
      <c r="CV30" s="64"/>
      <c r="CW30" s="65"/>
      <c r="CX30" s="26"/>
      <c r="CZ30" s="25"/>
      <c r="DA30" s="64"/>
      <c r="DB30" s="65"/>
      <c r="DC30" s="64"/>
      <c r="DD30" s="65"/>
      <c r="DE30" s="64"/>
      <c r="DF30" s="65"/>
      <c r="DG30" s="64"/>
      <c r="DH30" s="65"/>
      <c r="DI30" s="64"/>
      <c r="DJ30" s="65"/>
      <c r="DK30" s="64"/>
      <c r="DL30" s="65"/>
      <c r="DM30" s="64"/>
      <c r="DN30" s="65"/>
      <c r="DO30" s="26"/>
      <c r="DQ30" s="25"/>
      <c r="DR30" s="64"/>
      <c r="DS30" s="65"/>
      <c r="DT30" s="64"/>
      <c r="DU30" s="65"/>
      <c r="DV30" s="64"/>
      <c r="DW30" s="65"/>
      <c r="DX30" s="64"/>
      <c r="DY30" s="65"/>
      <c r="DZ30" s="64"/>
      <c r="EA30" s="65"/>
      <c r="EB30" s="64"/>
      <c r="EC30" s="65"/>
      <c r="ED30" s="64"/>
      <c r="EE30" s="65"/>
      <c r="EF30" s="26"/>
    </row>
    <row r="31" spans="1:136" ht="18" customHeight="1" x14ac:dyDescent="0.5">
      <c r="A31" s="18"/>
      <c r="B31" s="25"/>
      <c r="C31" s="22"/>
      <c r="D31" s="62"/>
      <c r="E31" s="63"/>
      <c r="F31" s="62"/>
      <c r="G31" s="63"/>
      <c r="H31" s="62"/>
      <c r="I31" s="63"/>
      <c r="J31" s="62"/>
      <c r="K31" s="63"/>
      <c r="L31" s="62"/>
      <c r="M31" s="63"/>
      <c r="N31" s="62"/>
      <c r="O31" s="63"/>
      <c r="P31" s="22"/>
      <c r="Q31" s="26"/>
      <c r="R31" s="20"/>
      <c r="S31" s="25"/>
      <c r="T31" s="22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22"/>
      <c r="AH31" s="26"/>
      <c r="AJ31" s="25"/>
      <c r="AK31" s="22"/>
      <c r="AL31" s="62"/>
      <c r="AM31" s="63"/>
      <c r="AN31" s="62"/>
      <c r="AO31" s="63"/>
      <c r="AP31" s="67">
        <v>2</v>
      </c>
      <c r="AQ31" s="63"/>
      <c r="AR31" s="62"/>
      <c r="AS31" s="63"/>
      <c r="AT31" s="62"/>
      <c r="AU31" s="63"/>
      <c r="AV31" s="62"/>
      <c r="AW31" s="63"/>
      <c r="AX31" s="22"/>
      <c r="AY31" s="26"/>
      <c r="BA31" s="25"/>
      <c r="BB31" s="22"/>
      <c r="BC31" s="62"/>
      <c r="BD31" s="63"/>
      <c r="BE31" s="62"/>
      <c r="BF31" s="63"/>
      <c r="BG31" s="68">
        <v>4</v>
      </c>
      <c r="BH31" s="63"/>
      <c r="BI31" s="62"/>
      <c r="BJ31" s="63"/>
      <c r="BK31" s="62"/>
      <c r="BL31" s="63"/>
      <c r="BM31" s="62"/>
      <c r="BN31" s="63"/>
      <c r="BO31" s="22"/>
      <c r="BP31" s="26"/>
      <c r="BR31" s="25"/>
      <c r="BS31" s="22"/>
      <c r="BT31" s="62"/>
      <c r="BU31" s="63"/>
      <c r="BV31" s="62"/>
      <c r="BW31" s="63"/>
      <c r="BX31" s="68">
        <v>4</v>
      </c>
      <c r="BY31" s="63"/>
      <c r="BZ31" s="68">
        <v>4</v>
      </c>
      <c r="CA31" s="63"/>
      <c r="CB31" s="62"/>
      <c r="CC31" s="63"/>
      <c r="CD31" s="62"/>
      <c r="CE31" s="63"/>
      <c r="CF31" s="22"/>
      <c r="CG31" s="26"/>
      <c r="CI31" s="25"/>
      <c r="CJ31" s="22"/>
      <c r="CK31" s="62"/>
      <c r="CL31" s="63"/>
      <c r="CM31" s="62"/>
      <c r="CN31" s="63"/>
      <c r="CO31" s="68">
        <v>4</v>
      </c>
      <c r="CP31" s="63"/>
      <c r="CQ31" s="62"/>
      <c r="CR31" s="63"/>
      <c r="CS31" s="62"/>
      <c r="CT31" s="63"/>
      <c r="CU31" s="62"/>
      <c r="CV31" s="63"/>
      <c r="CW31" s="22"/>
      <c r="CX31" s="26"/>
      <c r="CZ31" s="25"/>
      <c r="DA31" s="22"/>
      <c r="DB31" s="62"/>
      <c r="DC31" s="63"/>
      <c r="DD31" s="62"/>
      <c r="DE31" s="63"/>
      <c r="DF31" s="68">
        <v>4</v>
      </c>
      <c r="DG31" s="63"/>
      <c r="DH31" s="62"/>
      <c r="DI31" s="63"/>
      <c r="DJ31" s="62"/>
      <c r="DK31" s="63"/>
      <c r="DL31" s="62"/>
      <c r="DM31" s="63"/>
      <c r="DN31" s="22"/>
      <c r="DO31" s="26"/>
      <c r="DQ31" s="25"/>
      <c r="DR31" s="22"/>
      <c r="DS31" s="62"/>
      <c r="DT31" s="63"/>
      <c r="DU31" s="62"/>
      <c r="DV31" s="63"/>
      <c r="DW31" s="68">
        <v>4</v>
      </c>
      <c r="DX31" s="63"/>
      <c r="DY31" s="68">
        <v>4</v>
      </c>
      <c r="DZ31" s="63"/>
      <c r="EA31" s="62"/>
      <c r="EB31" s="63"/>
      <c r="EC31" s="62"/>
      <c r="ED31" s="63"/>
      <c r="EE31" s="22"/>
      <c r="EF31" s="26"/>
    </row>
    <row r="32" spans="1:136" ht="18" customHeight="1" x14ac:dyDescent="0.5">
      <c r="A32" s="18"/>
      <c r="B32" s="25"/>
      <c r="C32" s="22"/>
      <c r="D32" s="64"/>
      <c r="E32" s="65"/>
      <c r="F32" s="64"/>
      <c r="G32" s="65"/>
      <c r="H32" s="64"/>
      <c r="I32" s="65"/>
      <c r="J32" s="64"/>
      <c r="K32" s="65"/>
      <c r="L32" s="64"/>
      <c r="M32" s="65"/>
      <c r="N32" s="64"/>
      <c r="O32" s="65"/>
      <c r="P32" s="22"/>
      <c r="Q32" s="26"/>
      <c r="R32" s="20"/>
      <c r="S32" s="25"/>
      <c r="T32" s="22"/>
      <c r="U32" s="64"/>
      <c r="V32" s="65"/>
      <c r="W32" s="64"/>
      <c r="X32" s="65"/>
      <c r="Y32" s="64"/>
      <c r="Z32" s="65"/>
      <c r="AA32" s="64"/>
      <c r="AB32" s="65"/>
      <c r="AC32" s="64"/>
      <c r="AD32" s="65"/>
      <c r="AE32" s="64"/>
      <c r="AF32" s="65"/>
      <c r="AG32" s="22"/>
      <c r="AH32" s="26"/>
      <c r="AJ32" s="25"/>
      <c r="AK32" s="22"/>
      <c r="AL32" s="64"/>
      <c r="AM32" s="65"/>
      <c r="AN32" s="64"/>
      <c r="AO32" s="65"/>
      <c r="AP32" s="64"/>
      <c r="AQ32" s="65"/>
      <c r="AR32" s="64"/>
      <c r="AS32" s="65"/>
      <c r="AT32" s="64"/>
      <c r="AU32" s="65"/>
      <c r="AV32" s="64"/>
      <c r="AW32" s="65"/>
      <c r="AX32" s="22"/>
      <c r="AY32" s="26"/>
      <c r="BA32" s="25"/>
      <c r="BB32" s="22"/>
      <c r="BC32" s="64"/>
      <c r="BD32" s="65"/>
      <c r="BE32" s="64"/>
      <c r="BF32" s="65"/>
      <c r="BG32" s="64"/>
      <c r="BH32" s="65"/>
      <c r="BI32" s="64"/>
      <c r="BJ32" s="65"/>
      <c r="BK32" s="64"/>
      <c r="BL32" s="65"/>
      <c r="BM32" s="64"/>
      <c r="BN32" s="65"/>
      <c r="BO32" s="22"/>
      <c r="BP32" s="26"/>
      <c r="BR32" s="25"/>
      <c r="BS32" s="22"/>
      <c r="BT32" s="64"/>
      <c r="BU32" s="65"/>
      <c r="BV32" s="64"/>
      <c r="BW32" s="65"/>
      <c r="BX32" s="64"/>
      <c r="BY32" s="65"/>
      <c r="BZ32" s="64"/>
      <c r="CA32" s="65"/>
      <c r="CB32" s="64"/>
      <c r="CC32" s="65"/>
      <c r="CD32" s="64"/>
      <c r="CE32" s="65"/>
      <c r="CF32" s="22"/>
      <c r="CG32" s="26"/>
      <c r="CI32" s="25"/>
      <c r="CJ32" s="22"/>
      <c r="CK32" s="64"/>
      <c r="CL32" s="65"/>
      <c r="CM32" s="64"/>
      <c r="CN32" s="65"/>
      <c r="CO32" s="64"/>
      <c r="CP32" s="65"/>
      <c r="CQ32" s="64"/>
      <c r="CR32" s="65"/>
      <c r="CS32" s="64"/>
      <c r="CT32" s="65"/>
      <c r="CU32" s="64"/>
      <c r="CV32" s="65"/>
      <c r="CW32" s="22"/>
      <c r="CX32" s="26"/>
      <c r="CZ32" s="25"/>
      <c r="DA32" s="22"/>
      <c r="DB32" s="64"/>
      <c r="DC32" s="65"/>
      <c r="DD32" s="64"/>
      <c r="DE32" s="65"/>
      <c r="DF32" s="64"/>
      <c r="DG32" s="65"/>
      <c r="DH32" s="64"/>
      <c r="DI32" s="65"/>
      <c r="DJ32" s="64"/>
      <c r="DK32" s="65"/>
      <c r="DL32" s="64"/>
      <c r="DM32" s="65"/>
      <c r="DN32" s="22"/>
      <c r="DO32" s="26"/>
      <c r="DQ32" s="25"/>
      <c r="DR32" s="22"/>
      <c r="DS32" s="64"/>
      <c r="DT32" s="65"/>
      <c r="DU32" s="64"/>
      <c r="DV32" s="65"/>
      <c r="DW32" s="64"/>
      <c r="DX32" s="65"/>
      <c r="DY32" s="64"/>
      <c r="DZ32" s="65"/>
      <c r="EA32" s="64"/>
      <c r="EB32" s="65"/>
      <c r="EC32" s="64"/>
      <c r="ED32" s="65"/>
      <c r="EE32" s="22"/>
      <c r="EF32" s="26"/>
    </row>
    <row r="33" spans="1:137" ht="18" customHeight="1" x14ac:dyDescent="0.5">
      <c r="A33" s="18"/>
      <c r="B33" s="25"/>
      <c r="C33" s="22"/>
      <c r="D33" s="22"/>
      <c r="E33" s="62"/>
      <c r="F33" s="63"/>
      <c r="G33" s="62"/>
      <c r="H33" s="63"/>
      <c r="I33" s="62"/>
      <c r="J33" s="63"/>
      <c r="K33" s="62"/>
      <c r="L33" s="63"/>
      <c r="M33" s="62"/>
      <c r="N33" s="63"/>
      <c r="O33" s="22"/>
      <c r="P33" s="22"/>
      <c r="Q33" s="26"/>
      <c r="R33" s="20"/>
      <c r="S33" s="25"/>
      <c r="T33" s="22"/>
      <c r="U33" s="22"/>
      <c r="V33" s="62"/>
      <c r="W33" s="63"/>
      <c r="X33" s="62"/>
      <c r="Y33" s="63"/>
      <c r="Z33" s="62"/>
      <c r="AA33" s="63"/>
      <c r="AB33" s="62"/>
      <c r="AC33" s="63"/>
      <c r="AD33" s="62"/>
      <c r="AE33" s="63"/>
      <c r="AF33" s="22"/>
      <c r="AG33" s="22"/>
      <c r="AH33" s="26"/>
      <c r="AJ33" s="25"/>
      <c r="AK33" s="22"/>
      <c r="AL33" s="22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22"/>
      <c r="AX33" s="22"/>
      <c r="AY33" s="26"/>
      <c r="BA33" s="25"/>
      <c r="BB33" s="22"/>
      <c r="BC33" s="22"/>
      <c r="BD33" s="62"/>
      <c r="BE33" s="63"/>
      <c r="BF33" s="62"/>
      <c r="BG33" s="63"/>
      <c r="BH33" s="62"/>
      <c r="BI33" s="63"/>
      <c r="BJ33" s="62"/>
      <c r="BK33" s="63"/>
      <c r="BL33" s="62"/>
      <c r="BM33" s="63"/>
      <c r="BN33" s="22"/>
      <c r="BO33" s="22"/>
      <c r="BP33" s="26"/>
      <c r="BR33" s="25"/>
      <c r="BS33" s="22"/>
      <c r="BT33" s="22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22"/>
      <c r="CF33" s="22"/>
      <c r="CG33" s="26"/>
      <c r="CI33" s="25"/>
      <c r="CJ33" s="22"/>
      <c r="CK33" s="22"/>
      <c r="CL33" s="62"/>
      <c r="CM33" s="63"/>
      <c r="CN33" s="62"/>
      <c r="CO33" s="63"/>
      <c r="CP33" s="62"/>
      <c r="CQ33" s="63"/>
      <c r="CR33" s="62"/>
      <c r="CS33" s="63"/>
      <c r="CT33" s="62"/>
      <c r="CU33" s="63"/>
      <c r="CV33" s="22"/>
      <c r="CW33" s="22"/>
      <c r="CX33" s="26"/>
      <c r="CZ33" s="25"/>
      <c r="DA33" s="22"/>
      <c r="DB33" s="22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22"/>
      <c r="DN33" s="22"/>
      <c r="DO33" s="26"/>
      <c r="DQ33" s="25"/>
      <c r="DR33" s="22"/>
      <c r="DS33" s="22"/>
      <c r="DT33" s="62"/>
      <c r="DU33" s="63"/>
      <c r="DV33" s="62"/>
      <c r="DW33" s="63"/>
      <c r="DX33" s="62"/>
      <c r="DY33" s="63"/>
      <c r="DZ33" s="62"/>
      <c r="EA33" s="63"/>
      <c r="EB33" s="62"/>
      <c r="EC33" s="63"/>
      <c r="ED33" s="22"/>
      <c r="EE33" s="22"/>
      <c r="EF33" s="26"/>
    </row>
    <row r="34" spans="1:137" ht="18" customHeight="1" x14ac:dyDescent="0.5">
      <c r="A34" s="18"/>
      <c r="B34" s="25"/>
      <c r="C34" s="22"/>
      <c r="D34" s="22"/>
      <c r="E34" s="64"/>
      <c r="F34" s="65"/>
      <c r="G34" s="64"/>
      <c r="H34" s="65"/>
      <c r="I34" s="64"/>
      <c r="J34" s="65"/>
      <c r="K34" s="64"/>
      <c r="L34" s="65"/>
      <c r="M34" s="64"/>
      <c r="N34" s="65"/>
      <c r="O34" s="22"/>
      <c r="P34" s="22"/>
      <c r="Q34" s="26"/>
      <c r="R34" s="20"/>
      <c r="S34" s="25"/>
      <c r="T34" s="22"/>
      <c r="U34" s="22"/>
      <c r="V34" s="64"/>
      <c r="W34" s="65"/>
      <c r="X34" s="64"/>
      <c r="Y34" s="65"/>
      <c r="Z34" s="64"/>
      <c r="AA34" s="65"/>
      <c r="AB34" s="64"/>
      <c r="AC34" s="65"/>
      <c r="AD34" s="64"/>
      <c r="AE34" s="65"/>
      <c r="AF34" s="22"/>
      <c r="AG34" s="22"/>
      <c r="AH34" s="26"/>
      <c r="AJ34" s="25"/>
      <c r="AK34" s="22"/>
      <c r="AL34" s="22"/>
      <c r="AM34" s="64"/>
      <c r="AN34" s="65"/>
      <c r="AO34" s="64"/>
      <c r="AP34" s="65"/>
      <c r="AQ34" s="64"/>
      <c r="AR34" s="65"/>
      <c r="AS34" s="64"/>
      <c r="AT34" s="65"/>
      <c r="AU34" s="64"/>
      <c r="AV34" s="65"/>
      <c r="AW34" s="22"/>
      <c r="AX34" s="22"/>
      <c r="AY34" s="26"/>
      <c r="BA34" s="25"/>
      <c r="BB34" s="22"/>
      <c r="BC34" s="22"/>
      <c r="BD34" s="64"/>
      <c r="BE34" s="65"/>
      <c r="BF34" s="64"/>
      <c r="BG34" s="65"/>
      <c r="BH34" s="64"/>
      <c r="BI34" s="65"/>
      <c r="BJ34" s="64"/>
      <c r="BK34" s="65"/>
      <c r="BL34" s="64"/>
      <c r="BM34" s="65"/>
      <c r="BN34" s="22"/>
      <c r="BO34" s="22"/>
      <c r="BP34" s="26"/>
      <c r="BR34" s="25"/>
      <c r="BS34" s="22"/>
      <c r="BT34" s="22"/>
      <c r="BU34" s="64"/>
      <c r="BV34" s="65"/>
      <c r="BW34" s="64"/>
      <c r="BX34" s="65"/>
      <c r="BY34" s="64"/>
      <c r="BZ34" s="65"/>
      <c r="CA34" s="64"/>
      <c r="CB34" s="65"/>
      <c r="CC34" s="64"/>
      <c r="CD34" s="65"/>
      <c r="CE34" s="22"/>
      <c r="CF34" s="22"/>
      <c r="CG34" s="26"/>
      <c r="CI34" s="25"/>
      <c r="CJ34" s="22"/>
      <c r="CK34" s="22"/>
      <c r="CL34" s="64"/>
      <c r="CM34" s="65"/>
      <c r="CN34" s="64"/>
      <c r="CO34" s="65"/>
      <c r="CP34" s="64"/>
      <c r="CQ34" s="65"/>
      <c r="CR34" s="64"/>
      <c r="CS34" s="65"/>
      <c r="CT34" s="64"/>
      <c r="CU34" s="65"/>
      <c r="CV34" s="22"/>
      <c r="CW34" s="22"/>
      <c r="CX34" s="26"/>
      <c r="CZ34" s="25"/>
      <c r="DA34" s="22"/>
      <c r="DB34" s="22"/>
      <c r="DC34" s="64"/>
      <c r="DD34" s="65"/>
      <c r="DE34" s="64"/>
      <c r="DF34" s="65"/>
      <c r="DG34" s="64"/>
      <c r="DH34" s="65"/>
      <c r="DI34" s="64"/>
      <c r="DJ34" s="65"/>
      <c r="DK34" s="64"/>
      <c r="DL34" s="65"/>
      <c r="DM34" s="22"/>
      <c r="DN34" s="22"/>
      <c r="DO34" s="26"/>
      <c r="DQ34" s="25"/>
      <c r="DR34" s="22"/>
      <c r="DS34" s="22"/>
      <c r="DT34" s="64"/>
      <c r="DU34" s="65"/>
      <c r="DV34" s="64"/>
      <c r="DW34" s="65"/>
      <c r="DX34" s="64"/>
      <c r="DY34" s="65"/>
      <c r="DZ34" s="64"/>
      <c r="EA34" s="65"/>
      <c r="EB34" s="64"/>
      <c r="EC34" s="65"/>
      <c r="ED34" s="22"/>
      <c r="EE34" s="22"/>
      <c r="EF34" s="26"/>
    </row>
    <row r="35" spans="1:137" ht="18" customHeight="1" x14ac:dyDescent="0.5">
      <c r="A35" s="18"/>
      <c r="B35" s="25"/>
      <c r="C35" s="21"/>
      <c r="D35" s="22"/>
      <c r="E35" s="22"/>
      <c r="F35" s="62"/>
      <c r="G35" s="63"/>
      <c r="H35" s="62"/>
      <c r="I35" s="63"/>
      <c r="J35" s="62"/>
      <c r="K35" s="63"/>
      <c r="L35" s="62"/>
      <c r="M35" s="63"/>
      <c r="N35" s="22"/>
      <c r="O35" s="22"/>
      <c r="P35" s="21"/>
      <c r="Q35" s="26"/>
      <c r="R35" s="20"/>
      <c r="S35" s="25"/>
      <c r="T35" s="21"/>
      <c r="U35" s="22"/>
      <c r="V35" s="22"/>
      <c r="W35" s="62"/>
      <c r="X35" s="63"/>
      <c r="Y35" s="62"/>
      <c r="Z35" s="63"/>
      <c r="AA35" s="62"/>
      <c r="AB35" s="63"/>
      <c r="AC35" s="62"/>
      <c r="AD35" s="63"/>
      <c r="AE35" s="22"/>
      <c r="AF35" s="22"/>
      <c r="AG35" s="21"/>
      <c r="AH35" s="26"/>
      <c r="AJ35" s="25"/>
      <c r="AK35" s="21"/>
      <c r="AL35" s="22"/>
      <c r="AM35" s="22"/>
      <c r="AN35" s="62"/>
      <c r="AO35" s="63"/>
      <c r="AP35" s="62"/>
      <c r="AQ35" s="63"/>
      <c r="AR35" s="62"/>
      <c r="AS35" s="63"/>
      <c r="AT35" s="62"/>
      <c r="AU35" s="63"/>
      <c r="AV35" s="22"/>
      <c r="AW35" s="22"/>
      <c r="AX35" s="21"/>
      <c r="AY35" s="26"/>
      <c r="BA35" s="25"/>
      <c r="BB35" s="21"/>
      <c r="BC35" s="22"/>
      <c r="BD35" s="22"/>
      <c r="BE35" s="62"/>
      <c r="BF35" s="63"/>
      <c r="BG35" s="62"/>
      <c r="BH35" s="63"/>
      <c r="BI35" s="62"/>
      <c r="BJ35" s="63"/>
      <c r="BK35" s="62"/>
      <c r="BL35" s="63"/>
      <c r="BM35" s="22"/>
      <c r="BN35" s="22"/>
      <c r="BO35" s="21"/>
      <c r="BP35" s="26"/>
      <c r="BR35" s="25"/>
      <c r="BS35" s="21"/>
      <c r="BT35" s="22"/>
      <c r="BU35" s="22"/>
      <c r="BV35" s="62"/>
      <c r="BW35" s="63"/>
      <c r="BX35" s="62"/>
      <c r="BY35" s="63"/>
      <c r="BZ35" s="62"/>
      <c r="CA35" s="63"/>
      <c r="CB35" s="62"/>
      <c r="CC35" s="63"/>
      <c r="CD35" s="22"/>
      <c r="CE35" s="22"/>
      <c r="CF35" s="21"/>
      <c r="CG35" s="26"/>
      <c r="CI35" s="25"/>
      <c r="CJ35" s="21"/>
      <c r="CK35" s="22"/>
      <c r="CL35" s="22"/>
      <c r="CM35" s="62"/>
      <c r="CN35" s="63"/>
      <c r="CO35" s="62"/>
      <c r="CP35" s="63"/>
      <c r="CQ35" s="62"/>
      <c r="CR35" s="63"/>
      <c r="CS35" s="62"/>
      <c r="CT35" s="63"/>
      <c r="CU35" s="22"/>
      <c r="CV35" s="22"/>
      <c r="CW35" s="21"/>
      <c r="CX35" s="26"/>
      <c r="CZ35" s="25"/>
      <c r="DA35" s="21"/>
      <c r="DB35" s="22"/>
      <c r="DC35" s="22"/>
      <c r="DD35" s="62"/>
      <c r="DE35" s="63"/>
      <c r="DF35" s="62"/>
      <c r="DG35" s="63"/>
      <c r="DH35" s="62"/>
      <c r="DI35" s="63"/>
      <c r="DJ35" s="62"/>
      <c r="DK35" s="63"/>
      <c r="DL35" s="22"/>
      <c r="DM35" s="22"/>
      <c r="DN35" s="21"/>
      <c r="DO35" s="26"/>
      <c r="DQ35" s="25"/>
      <c r="DR35" s="21"/>
      <c r="DS35" s="22"/>
      <c r="DT35" s="22"/>
      <c r="DU35" s="62"/>
      <c r="DV35" s="63"/>
      <c r="DW35" s="62"/>
      <c r="DX35" s="63"/>
      <c r="DY35" s="62"/>
      <c r="DZ35" s="63"/>
      <c r="EA35" s="62"/>
      <c r="EB35" s="63"/>
      <c r="EC35" s="22"/>
      <c r="ED35" s="22"/>
      <c r="EE35" s="21"/>
      <c r="EF35" s="26"/>
    </row>
    <row r="36" spans="1:137" ht="18" customHeight="1" x14ac:dyDescent="0.5">
      <c r="A36" s="18"/>
      <c r="B36" s="25"/>
      <c r="C36" s="21"/>
      <c r="D36" s="22"/>
      <c r="E36" s="22"/>
      <c r="F36" s="64"/>
      <c r="G36" s="65"/>
      <c r="H36" s="64"/>
      <c r="I36" s="65"/>
      <c r="J36" s="64"/>
      <c r="K36" s="65"/>
      <c r="L36" s="64"/>
      <c r="M36" s="65"/>
      <c r="N36" s="22"/>
      <c r="O36" s="22"/>
      <c r="P36" s="21"/>
      <c r="Q36" s="26"/>
      <c r="R36" s="20"/>
      <c r="S36" s="25"/>
      <c r="T36" s="21"/>
      <c r="U36" s="22"/>
      <c r="V36" s="22"/>
      <c r="W36" s="64"/>
      <c r="X36" s="65"/>
      <c r="Y36" s="64"/>
      <c r="Z36" s="65"/>
      <c r="AA36" s="64"/>
      <c r="AB36" s="65"/>
      <c r="AC36" s="64"/>
      <c r="AD36" s="65"/>
      <c r="AE36" s="22"/>
      <c r="AF36" s="22"/>
      <c r="AG36" s="21"/>
      <c r="AH36" s="26"/>
      <c r="AJ36" s="25"/>
      <c r="AK36" s="21"/>
      <c r="AL36" s="22"/>
      <c r="AM36" s="22"/>
      <c r="AN36" s="64"/>
      <c r="AO36" s="65"/>
      <c r="AP36" s="64"/>
      <c r="AQ36" s="65"/>
      <c r="AR36" s="64"/>
      <c r="AS36" s="65"/>
      <c r="AT36" s="64"/>
      <c r="AU36" s="65"/>
      <c r="AV36" s="22"/>
      <c r="AW36" s="22"/>
      <c r="AX36" s="21"/>
      <c r="AY36" s="26"/>
      <c r="BA36" s="25"/>
      <c r="BB36" s="21"/>
      <c r="BC36" s="22"/>
      <c r="BD36" s="22"/>
      <c r="BE36" s="64"/>
      <c r="BF36" s="65"/>
      <c r="BG36" s="64"/>
      <c r="BH36" s="65"/>
      <c r="BI36" s="64"/>
      <c r="BJ36" s="65"/>
      <c r="BK36" s="64"/>
      <c r="BL36" s="65"/>
      <c r="BM36" s="22"/>
      <c r="BN36" s="22"/>
      <c r="BO36" s="21"/>
      <c r="BP36" s="26"/>
      <c r="BR36" s="25"/>
      <c r="BS36" s="21"/>
      <c r="BT36" s="22"/>
      <c r="BU36" s="22"/>
      <c r="BV36" s="64"/>
      <c r="BW36" s="65"/>
      <c r="BX36" s="64"/>
      <c r="BY36" s="65"/>
      <c r="BZ36" s="64"/>
      <c r="CA36" s="65"/>
      <c r="CB36" s="64"/>
      <c r="CC36" s="65"/>
      <c r="CD36" s="22"/>
      <c r="CE36" s="22"/>
      <c r="CF36" s="21"/>
      <c r="CG36" s="26"/>
      <c r="CI36" s="25"/>
      <c r="CJ36" s="21"/>
      <c r="CK36" s="22"/>
      <c r="CL36" s="22"/>
      <c r="CM36" s="64"/>
      <c r="CN36" s="65"/>
      <c r="CO36" s="64"/>
      <c r="CP36" s="65"/>
      <c r="CQ36" s="64"/>
      <c r="CR36" s="65"/>
      <c r="CS36" s="64"/>
      <c r="CT36" s="65"/>
      <c r="CU36" s="22"/>
      <c r="CV36" s="22"/>
      <c r="CW36" s="21"/>
      <c r="CX36" s="26"/>
      <c r="CZ36" s="25"/>
      <c r="DA36" s="21"/>
      <c r="DB36" s="22"/>
      <c r="DC36" s="22"/>
      <c r="DD36" s="64"/>
      <c r="DE36" s="65"/>
      <c r="DF36" s="64"/>
      <c r="DG36" s="65"/>
      <c r="DH36" s="64"/>
      <c r="DI36" s="65"/>
      <c r="DJ36" s="64"/>
      <c r="DK36" s="65"/>
      <c r="DL36" s="22"/>
      <c r="DM36" s="22"/>
      <c r="DN36" s="21"/>
      <c r="DO36" s="26"/>
      <c r="DQ36" s="25"/>
      <c r="DR36" s="21"/>
      <c r="DS36" s="22"/>
      <c r="DT36" s="22"/>
      <c r="DU36" s="64"/>
      <c r="DV36" s="65"/>
      <c r="DW36" s="64"/>
      <c r="DX36" s="65"/>
      <c r="DY36" s="64"/>
      <c r="DZ36" s="65"/>
      <c r="EA36" s="64"/>
      <c r="EB36" s="65"/>
      <c r="EC36" s="22"/>
      <c r="ED36" s="22"/>
      <c r="EE36" s="21"/>
      <c r="EF36" s="26"/>
    </row>
    <row r="37" spans="1:137" ht="18" customHeight="1" x14ac:dyDescent="0.5">
      <c r="A37" s="18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27"/>
      <c r="S37" s="3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27"/>
      <c r="AJ37" s="3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27"/>
      <c r="BA37" s="3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27"/>
      <c r="BR37" s="3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27"/>
      <c r="CI37" s="3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27"/>
      <c r="CZ37" s="3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27"/>
      <c r="DQ37" s="3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27"/>
    </row>
    <row r="38" spans="1:137" ht="18" customHeight="1" x14ac:dyDescent="0.5">
      <c r="A38" s="18"/>
      <c r="B38" s="28"/>
      <c r="C38" s="90" t="str">
        <f ca="1">GetHexStr(C23:P36)</f>
        <v>(-1,-2,2,);(1,-2,2,);(-2,0,2,);(0,0,2,);</v>
      </c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2"/>
      <c r="Q38" s="27"/>
      <c r="S38" s="28"/>
      <c r="T38" s="90" t="str">
        <f ca="1">GetHexStr(T23:AG36)</f>
        <v>(-1,-2,2,);(1,-2,2,);(0,0,2,);(2,0,2,);</v>
      </c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2"/>
      <c r="AH38" s="27"/>
      <c r="AJ38" s="28"/>
      <c r="AK38" s="90" t="str">
        <f ca="1">GetHexStr(AK23:AX36)</f>
        <v>(-1,-2,2,);(-2,0,2,);(0,0,2,);(-1,2,2,);</v>
      </c>
      <c r="AL38" s="91"/>
      <c r="AM38" s="91"/>
      <c r="AN38" s="91"/>
      <c r="AO38" s="91"/>
      <c r="AP38" s="91"/>
      <c r="AQ38" s="91"/>
      <c r="AR38" s="91"/>
      <c r="AS38" s="91"/>
      <c r="AT38" s="91"/>
      <c r="AU38" s="91"/>
      <c r="AV38" s="91"/>
      <c r="AW38" s="91"/>
      <c r="AX38" s="92"/>
      <c r="AY38" s="27"/>
      <c r="BA38" s="28"/>
      <c r="BB38" s="90" t="str">
        <f ca="1">GetHexStr(BB23:BO36)</f>
        <v>(1,-2,4,);(-2,0,4,);(0,0,4,);(-1,2,4,);</v>
      </c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2"/>
      <c r="BP38" s="27"/>
      <c r="BR38" s="28"/>
      <c r="BS38" s="90" t="str">
        <f ca="1">GetHexStr(BS23:CF36)</f>
        <v>(1,-2,4,);(0,0,4,);(-1,2,4,);(1,2,4,);</v>
      </c>
      <c r="BT38" s="91"/>
      <c r="BU38" s="91"/>
      <c r="BV38" s="91"/>
      <c r="BW38" s="91"/>
      <c r="BX38" s="91"/>
      <c r="BY38" s="91"/>
      <c r="BZ38" s="91"/>
      <c r="CA38" s="91"/>
      <c r="CB38" s="91"/>
      <c r="CC38" s="91"/>
      <c r="CD38" s="91"/>
      <c r="CE38" s="91"/>
      <c r="CF38" s="92"/>
      <c r="CG38" s="27"/>
      <c r="CI38" s="28"/>
      <c r="CJ38" s="90" t="str">
        <f ca="1">GetHexStr(CJ23:CW36)</f>
        <v>(1,-2,4,);(0,0,4,);(2,0,4,);(-1,2,4,);</v>
      </c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2"/>
      <c r="CX38" s="27"/>
      <c r="CZ38" s="28"/>
      <c r="DA38" s="90" t="str">
        <f ca="1">GetHexStr(DA23:DN36)</f>
        <v>(-1,-2,4,);(1,-2,4,);(0,0,4,);(-1,2,4,);</v>
      </c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2"/>
      <c r="DO38" s="27"/>
      <c r="DQ38" s="28"/>
      <c r="DR38" s="90" t="str">
        <f ca="1">GetHexStr(DR23:EE36)</f>
        <v>(-1,-2,4,);(0,0,4,);(-1,2,4,);(1,2,4,);</v>
      </c>
      <c r="DS38" s="91"/>
      <c r="DT38" s="91"/>
      <c r="DU38" s="91"/>
      <c r="DV38" s="91"/>
      <c r="DW38" s="91"/>
      <c r="DX38" s="91"/>
      <c r="DY38" s="91"/>
      <c r="DZ38" s="91"/>
      <c r="EA38" s="91"/>
      <c r="EB38" s="91"/>
      <c r="EC38" s="91"/>
      <c r="ED38" s="91"/>
      <c r="EE38" s="92"/>
      <c r="EF38" s="27"/>
    </row>
    <row r="39" spans="1:137" ht="18" customHeight="1" x14ac:dyDescent="0.5">
      <c r="B39" s="28"/>
      <c r="C39" s="93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5"/>
      <c r="Q39" s="27"/>
      <c r="S39" s="28"/>
      <c r="T39" s="93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5"/>
      <c r="AH39" s="27"/>
      <c r="AJ39" s="28"/>
      <c r="AK39" s="93"/>
      <c r="AL39" s="94"/>
      <c r="AM39" s="94"/>
      <c r="AN39" s="94"/>
      <c r="AO39" s="94"/>
      <c r="AP39" s="94"/>
      <c r="AQ39" s="94"/>
      <c r="AR39" s="94"/>
      <c r="AS39" s="94"/>
      <c r="AT39" s="94"/>
      <c r="AU39" s="94"/>
      <c r="AV39" s="94"/>
      <c r="AW39" s="94"/>
      <c r="AX39" s="95"/>
      <c r="AY39" s="27"/>
      <c r="BA39" s="28"/>
      <c r="BB39" s="93"/>
      <c r="BC39" s="94"/>
      <c r="BD39" s="94"/>
      <c r="BE39" s="94"/>
      <c r="BF39" s="94"/>
      <c r="BG39" s="94"/>
      <c r="BH39" s="94"/>
      <c r="BI39" s="94"/>
      <c r="BJ39" s="94"/>
      <c r="BK39" s="94"/>
      <c r="BL39" s="94"/>
      <c r="BM39" s="94"/>
      <c r="BN39" s="94"/>
      <c r="BO39" s="95"/>
      <c r="BP39" s="27"/>
      <c r="BR39" s="28"/>
      <c r="BS39" s="93"/>
      <c r="BT39" s="94"/>
      <c r="BU39" s="94"/>
      <c r="BV39" s="94"/>
      <c r="BW39" s="94"/>
      <c r="BX39" s="94"/>
      <c r="BY39" s="94"/>
      <c r="BZ39" s="94"/>
      <c r="CA39" s="94"/>
      <c r="CB39" s="94"/>
      <c r="CC39" s="94"/>
      <c r="CD39" s="94"/>
      <c r="CE39" s="94"/>
      <c r="CF39" s="95"/>
      <c r="CG39" s="27"/>
      <c r="CI39" s="28"/>
      <c r="CJ39" s="93"/>
      <c r="CK39" s="94"/>
      <c r="CL39" s="94"/>
      <c r="CM39" s="94"/>
      <c r="CN39" s="94"/>
      <c r="CO39" s="94"/>
      <c r="CP39" s="94"/>
      <c r="CQ39" s="94"/>
      <c r="CR39" s="94"/>
      <c r="CS39" s="94"/>
      <c r="CT39" s="94"/>
      <c r="CU39" s="94"/>
      <c r="CV39" s="94"/>
      <c r="CW39" s="95"/>
      <c r="CX39" s="27"/>
      <c r="CZ39" s="28"/>
      <c r="DA39" s="93"/>
      <c r="DB39" s="94"/>
      <c r="DC39" s="94"/>
      <c r="DD39" s="94"/>
      <c r="DE39" s="94"/>
      <c r="DF39" s="94"/>
      <c r="DG39" s="94"/>
      <c r="DH39" s="94"/>
      <c r="DI39" s="94"/>
      <c r="DJ39" s="94"/>
      <c r="DK39" s="94"/>
      <c r="DL39" s="94"/>
      <c r="DM39" s="94"/>
      <c r="DN39" s="95"/>
      <c r="DO39" s="27"/>
      <c r="DQ39" s="28"/>
      <c r="DR39" s="93"/>
      <c r="DS39" s="94"/>
      <c r="DT39" s="94"/>
      <c r="DU39" s="94"/>
      <c r="DV39" s="94"/>
      <c r="DW39" s="94"/>
      <c r="DX39" s="94"/>
      <c r="DY39" s="94"/>
      <c r="DZ39" s="94"/>
      <c r="EA39" s="94"/>
      <c r="EB39" s="94"/>
      <c r="EC39" s="94"/>
      <c r="ED39" s="94"/>
      <c r="EE39" s="95"/>
      <c r="EF39" s="27"/>
    </row>
    <row r="40" spans="1:137" ht="18" customHeight="1" thickBot="1" x14ac:dyDescent="0.55000000000000004">
      <c r="B40" s="29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1"/>
      <c r="S40" s="29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1"/>
      <c r="AJ40" s="29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1"/>
      <c r="BA40" s="29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1"/>
      <c r="BR40" s="29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1"/>
      <c r="CI40" s="29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1"/>
      <c r="CZ40" s="29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1"/>
      <c r="DQ40" s="29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1"/>
    </row>
    <row r="41" spans="1:137" ht="18" customHeight="1" thickBot="1" x14ac:dyDescent="0.55000000000000004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20"/>
      <c r="S41" s="20"/>
    </row>
    <row r="42" spans="1:137" ht="18" customHeight="1" x14ac:dyDescent="0.5">
      <c r="A42" s="18"/>
      <c r="B42" s="102">
        <v>2</v>
      </c>
      <c r="C42" s="10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4"/>
      <c r="R42" s="20"/>
      <c r="S42" s="102">
        <v>2</v>
      </c>
      <c r="T42" s="10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4"/>
      <c r="AJ42" s="102">
        <v>2</v>
      </c>
      <c r="AK42" s="10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4"/>
      <c r="BA42" s="107">
        <v>3</v>
      </c>
      <c r="BB42" s="10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4"/>
      <c r="BR42" s="107">
        <v>3</v>
      </c>
      <c r="BS42" s="10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4"/>
      <c r="CI42" s="107">
        <v>3</v>
      </c>
      <c r="CJ42" s="10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4"/>
      <c r="CZ42" s="107">
        <v>3</v>
      </c>
      <c r="DA42" s="10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4"/>
      <c r="DQ42" s="107">
        <v>3</v>
      </c>
      <c r="DR42" s="103"/>
      <c r="DS42" s="23"/>
      <c r="DT42" s="23"/>
      <c r="DU42" s="23"/>
      <c r="DV42" s="23"/>
      <c r="DW42" s="23"/>
      <c r="DX42" s="23"/>
      <c r="DY42" s="23"/>
      <c r="DZ42" s="23"/>
      <c r="EA42" s="23"/>
      <c r="EB42" s="23"/>
      <c r="EC42" s="23"/>
      <c r="ED42" s="23"/>
      <c r="EE42" s="23"/>
      <c r="EF42" s="42"/>
      <c r="EG42" s="34"/>
    </row>
    <row r="43" spans="1:137" ht="18" customHeight="1" thickBot="1" x14ac:dyDescent="0.55000000000000004">
      <c r="A43" s="18"/>
      <c r="B43" s="104"/>
      <c r="C43" s="105"/>
      <c r="D43" s="22"/>
      <c r="E43" s="22"/>
      <c r="F43" s="62"/>
      <c r="G43" s="63"/>
      <c r="H43" s="62"/>
      <c r="I43" s="63"/>
      <c r="J43" s="62"/>
      <c r="K43" s="63"/>
      <c r="L43" s="62"/>
      <c r="M43" s="63"/>
      <c r="N43" s="22"/>
      <c r="O43" s="22"/>
      <c r="P43" s="21"/>
      <c r="Q43" s="26"/>
      <c r="R43" s="20"/>
      <c r="S43" s="104"/>
      <c r="T43" s="105"/>
      <c r="U43" s="22"/>
      <c r="V43" s="22"/>
      <c r="W43" s="62"/>
      <c r="X43" s="63"/>
      <c r="Y43" s="62"/>
      <c r="Z43" s="63"/>
      <c r="AA43" s="62"/>
      <c r="AB43" s="63"/>
      <c r="AC43" s="62"/>
      <c r="AD43" s="63"/>
      <c r="AE43" s="22"/>
      <c r="AF43" s="22"/>
      <c r="AG43" s="21"/>
      <c r="AH43" s="26"/>
      <c r="AJ43" s="104"/>
      <c r="AK43" s="105"/>
      <c r="AL43" s="22"/>
      <c r="AM43" s="22"/>
      <c r="AN43" s="62"/>
      <c r="AO43" s="63"/>
      <c r="AP43" s="62"/>
      <c r="AQ43" s="63"/>
      <c r="AR43" s="62"/>
      <c r="AS43" s="63"/>
      <c r="AT43" s="62"/>
      <c r="AU43" s="63"/>
      <c r="AV43" s="22"/>
      <c r="AW43" s="22"/>
      <c r="AX43" s="21"/>
      <c r="AY43" s="26"/>
      <c r="BA43" s="104"/>
      <c r="BB43" s="105"/>
      <c r="BC43" s="22"/>
      <c r="BD43" s="22"/>
      <c r="BE43" s="62"/>
      <c r="BF43" s="63"/>
      <c r="BG43" s="62"/>
      <c r="BH43" s="63"/>
      <c r="BI43" s="62"/>
      <c r="BJ43" s="63"/>
      <c r="BK43" s="62"/>
      <c r="BL43" s="63"/>
      <c r="BM43" s="22"/>
      <c r="BN43" s="22"/>
      <c r="BO43" s="21"/>
      <c r="BP43" s="26"/>
      <c r="BR43" s="104"/>
      <c r="BS43" s="105"/>
      <c r="BT43" s="22"/>
      <c r="BU43" s="22"/>
      <c r="BV43" s="62"/>
      <c r="BW43" s="63"/>
      <c r="BX43" s="62"/>
      <c r="BY43" s="63"/>
      <c r="BZ43" s="62"/>
      <c r="CA43" s="63"/>
      <c r="CB43" s="62"/>
      <c r="CC43" s="63"/>
      <c r="CD43" s="22"/>
      <c r="CE43" s="22"/>
      <c r="CF43" s="21"/>
      <c r="CG43" s="26"/>
      <c r="CI43" s="104"/>
      <c r="CJ43" s="105"/>
      <c r="CK43" s="22"/>
      <c r="CL43" s="22"/>
      <c r="CM43" s="62"/>
      <c r="CN43" s="63"/>
      <c r="CO43" s="62"/>
      <c r="CP43" s="63"/>
      <c r="CQ43" s="62"/>
      <c r="CR43" s="63"/>
      <c r="CS43" s="62"/>
      <c r="CT43" s="63"/>
      <c r="CU43" s="22"/>
      <c r="CV43" s="22"/>
      <c r="CW43" s="21"/>
      <c r="CX43" s="26"/>
      <c r="CZ43" s="104"/>
      <c r="DA43" s="105"/>
      <c r="DB43" s="22"/>
      <c r="DC43" s="22"/>
      <c r="DD43" s="62"/>
      <c r="DE43" s="63"/>
      <c r="DF43" s="62"/>
      <c r="DG43" s="63"/>
      <c r="DH43" s="62"/>
      <c r="DI43" s="63"/>
      <c r="DJ43" s="62"/>
      <c r="DK43" s="63"/>
      <c r="DL43" s="22"/>
      <c r="DM43" s="22"/>
      <c r="DN43" s="21"/>
      <c r="DO43" s="26"/>
      <c r="DQ43" s="104"/>
      <c r="DR43" s="105"/>
      <c r="DS43" s="22"/>
      <c r="DT43" s="22"/>
      <c r="DU43" s="62"/>
      <c r="DV43" s="63"/>
      <c r="DW43" s="62"/>
      <c r="DX43" s="63"/>
      <c r="DY43" s="62"/>
      <c r="DZ43" s="63"/>
      <c r="EA43" s="62"/>
      <c r="EB43" s="63"/>
      <c r="EC43" s="22"/>
      <c r="ED43" s="22"/>
      <c r="EE43" s="21"/>
      <c r="EF43" s="43"/>
      <c r="EG43" s="34"/>
    </row>
    <row r="44" spans="1:137" ht="18" customHeight="1" x14ac:dyDescent="0.5">
      <c r="A44" s="18"/>
      <c r="B44" s="25"/>
      <c r="C44" s="21"/>
      <c r="D44" s="22"/>
      <c r="E44" s="22"/>
      <c r="F44" s="64"/>
      <c r="G44" s="65"/>
      <c r="H44" s="64"/>
      <c r="I44" s="65"/>
      <c r="J44" s="64"/>
      <c r="K44" s="65"/>
      <c r="L44" s="64"/>
      <c r="M44" s="65"/>
      <c r="N44" s="22"/>
      <c r="O44" s="22"/>
      <c r="P44" s="21"/>
      <c r="Q44" s="26"/>
      <c r="R44" s="20"/>
      <c r="S44" s="25"/>
      <c r="T44" s="21"/>
      <c r="U44" s="22"/>
      <c r="V44" s="22"/>
      <c r="W44" s="64"/>
      <c r="X44" s="65"/>
      <c r="Y44" s="64"/>
      <c r="Z44" s="65"/>
      <c r="AA44" s="64"/>
      <c r="AB44" s="65"/>
      <c r="AC44" s="64"/>
      <c r="AD44" s="65"/>
      <c r="AE44" s="22"/>
      <c r="AF44" s="22"/>
      <c r="AG44" s="21"/>
      <c r="AH44" s="26"/>
      <c r="AJ44" s="25"/>
      <c r="AK44" s="21"/>
      <c r="AL44" s="22"/>
      <c r="AM44" s="22"/>
      <c r="AN44" s="64"/>
      <c r="AO44" s="65"/>
      <c r="AP44" s="64"/>
      <c r="AQ44" s="65"/>
      <c r="AR44" s="64"/>
      <c r="AS44" s="65"/>
      <c r="AT44" s="64"/>
      <c r="AU44" s="65"/>
      <c r="AV44" s="22"/>
      <c r="AW44" s="22"/>
      <c r="AX44" s="21"/>
      <c r="AY44" s="26"/>
      <c r="BA44" s="25"/>
      <c r="BB44" s="21"/>
      <c r="BC44" s="22"/>
      <c r="BD44" s="22"/>
      <c r="BE44" s="64"/>
      <c r="BF44" s="65"/>
      <c r="BG44" s="64"/>
      <c r="BH44" s="65"/>
      <c r="BI44" s="64"/>
      <c r="BJ44" s="65"/>
      <c r="BK44" s="64"/>
      <c r="BL44" s="65"/>
      <c r="BM44" s="22"/>
      <c r="BN44" s="22"/>
      <c r="BO44" s="21"/>
      <c r="BP44" s="26"/>
      <c r="BR44" s="25"/>
      <c r="BS44" s="21"/>
      <c r="BT44" s="22"/>
      <c r="BU44" s="22"/>
      <c r="BV44" s="64"/>
      <c r="BW44" s="65"/>
      <c r="BX44" s="64"/>
      <c r="BY44" s="65"/>
      <c r="BZ44" s="64"/>
      <c r="CA44" s="65"/>
      <c r="CB44" s="64"/>
      <c r="CC44" s="65"/>
      <c r="CD44" s="22"/>
      <c r="CE44" s="22"/>
      <c r="CF44" s="21"/>
      <c r="CG44" s="26"/>
      <c r="CI44" s="25"/>
      <c r="CJ44" s="21"/>
      <c r="CK44" s="22"/>
      <c r="CL44" s="22"/>
      <c r="CM44" s="64"/>
      <c r="CN44" s="65"/>
      <c r="CO44" s="64"/>
      <c r="CP44" s="65"/>
      <c r="CQ44" s="64"/>
      <c r="CR44" s="65"/>
      <c r="CS44" s="64"/>
      <c r="CT44" s="65"/>
      <c r="CU44" s="22"/>
      <c r="CV44" s="22"/>
      <c r="CW44" s="21"/>
      <c r="CX44" s="26"/>
      <c r="CZ44" s="25"/>
      <c r="DA44" s="21"/>
      <c r="DB44" s="22"/>
      <c r="DC44" s="22"/>
      <c r="DD44" s="64"/>
      <c r="DE44" s="65"/>
      <c r="DF44" s="64"/>
      <c r="DG44" s="65"/>
      <c r="DH44" s="64"/>
      <c r="DI44" s="65"/>
      <c r="DJ44" s="64"/>
      <c r="DK44" s="65"/>
      <c r="DL44" s="22"/>
      <c r="DM44" s="22"/>
      <c r="DN44" s="21"/>
      <c r="DO44" s="26"/>
      <c r="DQ44" s="25"/>
      <c r="DR44" s="21"/>
      <c r="DS44" s="22"/>
      <c r="DT44" s="22"/>
      <c r="DU44" s="64"/>
      <c r="DV44" s="65"/>
      <c r="DW44" s="64"/>
      <c r="DX44" s="65"/>
      <c r="DY44" s="64"/>
      <c r="DZ44" s="65"/>
      <c r="EA44" s="64"/>
      <c r="EB44" s="65"/>
      <c r="EC44" s="22"/>
      <c r="ED44" s="22"/>
      <c r="EE44" s="21"/>
      <c r="EF44" s="43"/>
      <c r="EG44" s="34"/>
    </row>
    <row r="45" spans="1:137" ht="18" customHeight="1" x14ac:dyDescent="0.5">
      <c r="A45" s="18"/>
      <c r="B45" s="25"/>
      <c r="C45" s="22"/>
      <c r="D45" s="22"/>
      <c r="E45" s="62"/>
      <c r="F45" s="63"/>
      <c r="G45" s="62"/>
      <c r="H45" s="63"/>
      <c r="I45" s="62"/>
      <c r="J45" s="63"/>
      <c r="K45" s="62"/>
      <c r="L45" s="63"/>
      <c r="M45" s="62"/>
      <c r="N45" s="63"/>
      <c r="O45" s="22"/>
      <c r="P45" s="22"/>
      <c r="Q45" s="26"/>
      <c r="R45" s="20"/>
      <c r="S45" s="25"/>
      <c r="T45" s="22"/>
      <c r="U45" s="22"/>
      <c r="V45" s="62"/>
      <c r="W45" s="63"/>
      <c r="X45" s="62"/>
      <c r="Y45" s="63"/>
      <c r="Z45" s="62"/>
      <c r="AA45" s="63"/>
      <c r="AB45" s="62"/>
      <c r="AC45" s="63"/>
      <c r="AD45" s="62"/>
      <c r="AE45" s="63"/>
      <c r="AF45" s="22"/>
      <c r="AG45" s="22"/>
      <c r="AH45" s="26"/>
      <c r="AJ45" s="25"/>
      <c r="AK45" s="22"/>
      <c r="AL45" s="22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22"/>
      <c r="AX45" s="22"/>
      <c r="AY45" s="26"/>
      <c r="BA45" s="25"/>
      <c r="BB45" s="22"/>
      <c r="BC45" s="22"/>
      <c r="BD45" s="62"/>
      <c r="BE45" s="63"/>
      <c r="BF45" s="62"/>
      <c r="BG45" s="63"/>
      <c r="BH45" s="62"/>
      <c r="BI45" s="63"/>
      <c r="BJ45" s="62"/>
      <c r="BK45" s="63"/>
      <c r="BL45" s="62"/>
      <c r="BM45" s="63"/>
      <c r="BN45" s="22"/>
      <c r="BO45" s="22"/>
      <c r="BP45" s="26"/>
      <c r="BR45" s="25"/>
      <c r="BS45" s="22"/>
      <c r="BT45" s="22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22"/>
      <c r="CF45" s="22"/>
      <c r="CG45" s="26"/>
      <c r="CI45" s="25"/>
      <c r="CJ45" s="22"/>
      <c r="CK45" s="22"/>
      <c r="CL45" s="62"/>
      <c r="CM45" s="63"/>
      <c r="CN45" s="62"/>
      <c r="CO45" s="63"/>
      <c r="CP45" s="62"/>
      <c r="CQ45" s="63"/>
      <c r="CR45" s="62"/>
      <c r="CS45" s="63"/>
      <c r="CT45" s="62"/>
      <c r="CU45" s="63"/>
      <c r="CV45" s="22"/>
      <c r="CW45" s="22"/>
      <c r="CX45" s="26"/>
      <c r="CZ45" s="25"/>
      <c r="DA45" s="22"/>
      <c r="DB45" s="22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22"/>
      <c r="DN45" s="22"/>
      <c r="DO45" s="26"/>
      <c r="DQ45" s="25"/>
      <c r="DR45" s="22"/>
      <c r="DS45" s="22"/>
      <c r="DT45" s="62"/>
      <c r="DU45" s="63"/>
      <c r="DV45" s="62"/>
      <c r="DW45" s="63"/>
      <c r="DX45" s="62"/>
      <c r="DY45" s="63"/>
      <c r="DZ45" s="62"/>
      <c r="EA45" s="63"/>
      <c r="EB45" s="62"/>
      <c r="EC45" s="63"/>
      <c r="ED45" s="22"/>
      <c r="EE45" s="22"/>
      <c r="EF45" s="43"/>
      <c r="EG45" s="34"/>
    </row>
    <row r="46" spans="1:137" ht="18" customHeight="1" x14ac:dyDescent="0.5">
      <c r="A46" s="18"/>
      <c r="B46" s="25"/>
      <c r="C46" s="22"/>
      <c r="D46" s="22"/>
      <c r="E46" s="64"/>
      <c r="F46" s="65"/>
      <c r="G46" s="64"/>
      <c r="H46" s="65"/>
      <c r="I46" s="64"/>
      <c r="J46" s="65"/>
      <c r="K46" s="64"/>
      <c r="L46" s="65"/>
      <c r="M46" s="64"/>
      <c r="N46" s="65"/>
      <c r="O46" s="22"/>
      <c r="P46" s="22"/>
      <c r="Q46" s="26"/>
      <c r="R46" s="20"/>
      <c r="S46" s="25"/>
      <c r="T46" s="22"/>
      <c r="U46" s="22"/>
      <c r="V46" s="64"/>
      <c r="W46" s="65"/>
      <c r="X46" s="64"/>
      <c r="Y46" s="65"/>
      <c r="Z46" s="64"/>
      <c r="AA46" s="65"/>
      <c r="AB46" s="64"/>
      <c r="AC46" s="65"/>
      <c r="AD46" s="64"/>
      <c r="AE46" s="65"/>
      <c r="AF46" s="22"/>
      <c r="AG46" s="22"/>
      <c r="AH46" s="26"/>
      <c r="AJ46" s="25"/>
      <c r="AK46" s="22"/>
      <c r="AL46" s="22"/>
      <c r="AM46" s="64"/>
      <c r="AN46" s="65"/>
      <c r="AO46" s="64"/>
      <c r="AP46" s="65"/>
      <c r="AQ46" s="64"/>
      <c r="AR46" s="65"/>
      <c r="AS46" s="64"/>
      <c r="AT46" s="65"/>
      <c r="AU46" s="64"/>
      <c r="AV46" s="65"/>
      <c r="AW46" s="22"/>
      <c r="AX46" s="22"/>
      <c r="AY46" s="26"/>
      <c r="BA46" s="25"/>
      <c r="BB46" s="22"/>
      <c r="BC46" s="22"/>
      <c r="BD46" s="64"/>
      <c r="BE46" s="65"/>
      <c r="BF46" s="64"/>
      <c r="BG46" s="65"/>
      <c r="BH46" s="64"/>
      <c r="BI46" s="65"/>
      <c r="BJ46" s="64"/>
      <c r="BK46" s="65"/>
      <c r="BL46" s="64"/>
      <c r="BM46" s="65"/>
      <c r="BN46" s="22"/>
      <c r="BO46" s="22"/>
      <c r="BP46" s="26"/>
      <c r="BR46" s="25"/>
      <c r="BS46" s="22"/>
      <c r="BT46" s="22"/>
      <c r="BU46" s="64"/>
      <c r="BV46" s="65"/>
      <c r="BW46" s="64"/>
      <c r="BX46" s="65"/>
      <c r="BY46" s="64"/>
      <c r="BZ46" s="65"/>
      <c r="CA46" s="64"/>
      <c r="CB46" s="65"/>
      <c r="CC46" s="64"/>
      <c r="CD46" s="65"/>
      <c r="CE46" s="22"/>
      <c r="CF46" s="22"/>
      <c r="CG46" s="26"/>
      <c r="CI46" s="25"/>
      <c r="CJ46" s="22"/>
      <c r="CK46" s="22"/>
      <c r="CL46" s="64"/>
      <c r="CM46" s="65"/>
      <c r="CN46" s="64"/>
      <c r="CO46" s="65"/>
      <c r="CP46" s="64"/>
      <c r="CQ46" s="65"/>
      <c r="CR46" s="64"/>
      <c r="CS46" s="65"/>
      <c r="CT46" s="64"/>
      <c r="CU46" s="65"/>
      <c r="CV46" s="22"/>
      <c r="CW46" s="22"/>
      <c r="CX46" s="26"/>
      <c r="CZ46" s="25"/>
      <c r="DA46" s="22"/>
      <c r="DB46" s="22"/>
      <c r="DC46" s="64"/>
      <c r="DD46" s="65"/>
      <c r="DE46" s="64"/>
      <c r="DF46" s="65"/>
      <c r="DG46" s="64"/>
      <c r="DH46" s="65"/>
      <c r="DI46" s="64"/>
      <c r="DJ46" s="65"/>
      <c r="DK46" s="64"/>
      <c r="DL46" s="65"/>
      <c r="DM46" s="22"/>
      <c r="DN46" s="22"/>
      <c r="DO46" s="26"/>
      <c r="DQ46" s="25"/>
      <c r="DR46" s="22"/>
      <c r="DS46" s="22"/>
      <c r="DT46" s="64"/>
      <c r="DU46" s="65"/>
      <c r="DV46" s="64"/>
      <c r="DW46" s="65"/>
      <c r="DX46" s="64"/>
      <c r="DY46" s="65"/>
      <c r="DZ46" s="64"/>
      <c r="EA46" s="65"/>
      <c r="EB46" s="64"/>
      <c r="EC46" s="65"/>
      <c r="ED46" s="22"/>
      <c r="EE46" s="22"/>
      <c r="EF46" s="43"/>
      <c r="EG46" s="34"/>
    </row>
    <row r="47" spans="1:137" ht="18" customHeight="1" x14ac:dyDescent="0.5">
      <c r="A47" s="18"/>
      <c r="B47" s="25"/>
      <c r="C47" s="22"/>
      <c r="D47" s="62"/>
      <c r="E47" s="63"/>
      <c r="F47" s="62"/>
      <c r="G47" s="63"/>
      <c r="H47" s="68">
        <v>4</v>
      </c>
      <c r="I47" s="63"/>
      <c r="J47" s="62"/>
      <c r="K47" s="63"/>
      <c r="L47" s="62"/>
      <c r="M47" s="63"/>
      <c r="N47" s="62"/>
      <c r="O47" s="63"/>
      <c r="P47" s="22"/>
      <c r="Q47" s="26"/>
      <c r="R47" s="20"/>
      <c r="S47" s="25"/>
      <c r="T47" s="22"/>
      <c r="U47" s="62"/>
      <c r="V47" s="63"/>
      <c r="W47" s="62"/>
      <c r="X47" s="63"/>
      <c r="Y47" s="68">
        <v>4</v>
      </c>
      <c r="Z47" s="63"/>
      <c r="AA47" s="62"/>
      <c r="AB47" s="63"/>
      <c r="AC47" s="62"/>
      <c r="AD47" s="63"/>
      <c r="AE47" s="62"/>
      <c r="AF47" s="63"/>
      <c r="AG47" s="22"/>
      <c r="AH47" s="26"/>
      <c r="AJ47" s="25"/>
      <c r="AK47" s="22"/>
      <c r="AL47" s="62"/>
      <c r="AM47" s="63"/>
      <c r="AN47" s="62"/>
      <c r="AO47" s="63"/>
      <c r="AP47" s="68">
        <v>4</v>
      </c>
      <c r="AQ47" s="63"/>
      <c r="AR47" s="68">
        <v>4</v>
      </c>
      <c r="AS47" s="63"/>
      <c r="AT47" s="62"/>
      <c r="AU47" s="63"/>
      <c r="AV47" s="62"/>
      <c r="AW47" s="63"/>
      <c r="AX47" s="22"/>
      <c r="AY47" s="26"/>
      <c r="BA47" s="25"/>
      <c r="BB47" s="22"/>
      <c r="BC47" s="62"/>
      <c r="BD47" s="63"/>
      <c r="BE47" s="62"/>
      <c r="BF47" s="63"/>
      <c r="BG47" s="69">
        <v>3</v>
      </c>
      <c r="BH47" s="63"/>
      <c r="BI47" s="62"/>
      <c r="BJ47" s="63"/>
      <c r="BK47" s="62"/>
      <c r="BL47" s="63"/>
      <c r="BM47" s="62"/>
      <c r="BN47" s="63"/>
      <c r="BO47" s="22"/>
      <c r="BP47" s="26"/>
      <c r="BR47" s="25"/>
      <c r="BS47" s="22"/>
      <c r="BT47" s="62"/>
      <c r="BU47" s="63"/>
      <c r="BV47" s="62"/>
      <c r="BW47" s="63"/>
      <c r="BX47" s="62"/>
      <c r="BY47" s="63"/>
      <c r="BZ47" s="69">
        <v>3</v>
      </c>
      <c r="CA47" s="63"/>
      <c r="CB47" s="62"/>
      <c r="CC47" s="63"/>
      <c r="CD47" s="62"/>
      <c r="CE47" s="63"/>
      <c r="CF47" s="22"/>
      <c r="CG47" s="26"/>
      <c r="CI47" s="25"/>
      <c r="CJ47" s="22"/>
      <c r="CK47" s="62"/>
      <c r="CL47" s="63"/>
      <c r="CM47" s="62"/>
      <c r="CN47" s="63"/>
      <c r="CO47" s="69">
        <v>3</v>
      </c>
      <c r="CP47" s="63"/>
      <c r="CQ47" s="69">
        <v>3</v>
      </c>
      <c r="CR47" s="63"/>
      <c r="CS47" s="62"/>
      <c r="CT47" s="63"/>
      <c r="CU47" s="62"/>
      <c r="CV47" s="63"/>
      <c r="CW47" s="22"/>
      <c r="CX47" s="26"/>
      <c r="CZ47" s="25"/>
      <c r="DA47" s="22"/>
      <c r="DB47" s="62"/>
      <c r="DC47" s="63"/>
      <c r="DD47" s="62"/>
      <c r="DE47" s="63"/>
      <c r="DF47" s="69">
        <v>3</v>
      </c>
      <c r="DG47" s="63"/>
      <c r="DH47" s="69">
        <v>3</v>
      </c>
      <c r="DI47" s="63"/>
      <c r="DJ47" s="62"/>
      <c r="DK47" s="63"/>
      <c r="DL47" s="62"/>
      <c r="DM47" s="63"/>
      <c r="DN47" s="22"/>
      <c r="DO47" s="26"/>
      <c r="DQ47" s="25"/>
      <c r="DR47" s="22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22"/>
      <c r="EF47" s="43"/>
      <c r="EG47" s="34"/>
    </row>
    <row r="48" spans="1:137" ht="18" customHeight="1" x14ac:dyDescent="0.5">
      <c r="A48" s="18"/>
      <c r="B48" s="25"/>
      <c r="C48" s="22"/>
      <c r="D48" s="64"/>
      <c r="E48" s="65"/>
      <c r="F48" s="64"/>
      <c r="G48" s="65"/>
      <c r="H48" s="64"/>
      <c r="I48" s="65"/>
      <c r="J48" s="64"/>
      <c r="K48" s="65"/>
      <c r="L48" s="64"/>
      <c r="M48" s="65"/>
      <c r="N48" s="64"/>
      <c r="O48" s="65"/>
      <c r="P48" s="22"/>
      <c r="Q48" s="26"/>
      <c r="R48" s="20"/>
      <c r="S48" s="25"/>
      <c r="T48" s="22"/>
      <c r="U48" s="64"/>
      <c r="V48" s="65"/>
      <c r="W48" s="64"/>
      <c r="X48" s="65"/>
      <c r="Y48" s="64"/>
      <c r="Z48" s="65"/>
      <c r="AA48" s="64"/>
      <c r="AB48" s="65"/>
      <c r="AC48" s="64"/>
      <c r="AD48" s="65"/>
      <c r="AE48" s="64"/>
      <c r="AF48" s="65"/>
      <c r="AG48" s="22"/>
      <c r="AH48" s="26"/>
      <c r="AJ48" s="25"/>
      <c r="AK48" s="22"/>
      <c r="AL48" s="64"/>
      <c r="AM48" s="65"/>
      <c r="AN48" s="64"/>
      <c r="AO48" s="65"/>
      <c r="AP48" s="64"/>
      <c r="AQ48" s="65"/>
      <c r="AR48" s="64"/>
      <c r="AS48" s="65"/>
      <c r="AT48" s="64"/>
      <c r="AU48" s="65"/>
      <c r="AV48" s="64"/>
      <c r="AW48" s="65"/>
      <c r="AX48" s="22"/>
      <c r="AY48" s="26"/>
      <c r="BA48" s="25"/>
      <c r="BB48" s="22"/>
      <c r="BC48" s="64"/>
      <c r="BD48" s="65"/>
      <c r="BE48" s="64"/>
      <c r="BF48" s="65"/>
      <c r="BG48" s="64"/>
      <c r="BH48" s="65"/>
      <c r="BI48" s="64"/>
      <c r="BJ48" s="65"/>
      <c r="BK48" s="64"/>
      <c r="BL48" s="65"/>
      <c r="BM48" s="64"/>
      <c r="BN48" s="65"/>
      <c r="BO48" s="22"/>
      <c r="BP48" s="26"/>
      <c r="BR48" s="25"/>
      <c r="BS48" s="22"/>
      <c r="BT48" s="64"/>
      <c r="BU48" s="65"/>
      <c r="BV48" s="64"/>
      <c r="BW48" s="65"/>
      <c r="BX48" s="64"/>
      <c r="BY48" s="65"/>
      <c r="BZ48" s="64"/>
      <c r="CA48" s="65"/>
      <c r="CB48" s="64"/>
      <c r="CC48" s="65"/>
      <c r="CD48" s="64"/>
      <c r="CE48" s="65"/>
      <c r="CF48" s="22"/>
      <c r="CG48" s="26"/>
      <c r="CI48" s="25"/>
      <c r="CJ48" s="22"/>
      <c r="CK48" s="64"/>
      <c r="CL48" s="65"/>
      <c r="CM48" s="64"/>
      <c r="CN48" s="65"/>
      <c r="CO48" s="64"/>
      <c r="CP48" s="65"/>
      <c r="CQ48" s="64"/>
      <c r="CR48" s="65"/>
      <c r="CS48" s="64"/>
      <c r="CT48" s="65"/>
      <c r="CU48" s="64"/>
      <c r="CV48" s="65"/>
      <c r="CW48" s="22"/>
      <c r="CX48" s="26"/>
      <c r="CZ48" s="25"/>
      <c r="DA48" s="22"/>
      <c r="DB48" s="64"/>
      <c r="DC48" s="65"/>
      <c r="DD48" s="64"/>
      <c r="DE48" s="65"/>
      <c r="DF48" s="64"/>
      <c r="DG48" s="65"/>
      <c r="DH48" s="64"/>
      <c r="DI48" s="65"/>
      <c r="DJ48" s="64"/>
      <c r="DK48" s="65"/>
      <c r="DL48" s="64"/>
      <c r="DM48" s="65"/>
      <c r="DN48" s="22"/>
      <c r="DO48" s="26"/>
      <c r="DQ48" s="25"/>
      <c r="DR48" s="22"/>
      <c r="DS48" s="64"/>
      <c r="DT48" s="65"/>
      <c r="DU48" s="64"/>
      <c r="DV48" s="65"/>
      <c r="DW48" s="64"/>
      <c r="DX48" s="65"/>
      <c r="DY48" s="64"/>
      <c r="DZ48" s="65"/>
      <c r="EA48" s="64"/>
      <c r="EB48" s="65"/>
      <c r="EC48" s="64"/>
      <c r="ED48" s="65"/>
      <c r="EE48" s="22"/>
      <c r="EF48" s="43"/>
      <c r="EG48" s="34"/>
    </row>
    <row r="49" spans="1:137" ht="18" customHeight="1" x14ac:dyDescent="0.5">
      <c r="A49" s="18"/>
      <c r="B49" s="25"/>
      <c r="C49" s="62"/>
      <c r="D49" s="63"/>
      <c r="E49" s="62"/>
      <c r="F49" s="63"/>
      <c r="G49" s="62"/>
      <c r="H49" s="63"/>
      <c r="I49" s="68">
        <v>4</v>
      </c>
      <c r="J49" s="63"/>
      <c r="K49" s="68">
        <v>4</v>
      </c>
      <c r="L49" s="63"/>
      <c r="M49" s="62"/>
      <c r="N49" s="63"/>
      <c r="O49" s="62"/>
      <c r="P49" s="63"/>
      <c r="Q49" s="26"/>
      <c r="R49" s="20"/>
      <c r="S49" s="25"/>
      <c r="T49" s="62"/>
      <c r="U49" s="63"/>
      <c r="V49" s="62"/>
      <c r="W49" s="63"/>
      <c r="X49" s="68">
        <v>4</v>
      </c>
      <c r="Y49" s="63"/>
      <c r="Z49" s="68">
        <v>4</v>
      </c>
      <c r="AA49" s="63"/>
      <c r="AB49" s="62"/>
      <c r="AC49" s="63"/>
      <c r="AD49" s="62"/>
      <c r="AE49" s="63"/>
      <c r="AF49" s="62"/>
      <c r="AG49" s="63"/>
      <c r="AH49" s="26"/>
      <c r="AJ49" s="25"/>
      <c r="AK49" s="62"/>
      <c r="AL49" s="63"/>
      <c r="AM49" s="62"/>
      <c r="AN49" s="63"/>
      <c r="AO49" s="62"/>
      <c r="AP49" s="63"/>
      <c r="AQ49" s="68">
        <v>4</v>
      </c>
      <c r="AR49" s="63"/>
      <c r="AS49" s="62"/>
      <c r="AT49" s="63"/>
      <c r="AU49" s="62"/>
      <c r="AV49" s="63"/>
      <c r="AW49" s="62"/>
      <c r="AX49" s="63"/>
      <c r="AY49" s="26"/>
      <c r="BA49" s="25"/>
      <c r="BB49" s="62"/>
      <c r="BC49" s="63"/>
      <c r="BD49" s="62"/>
      <c r="BE49" s="63"/>
      <c r="BF49" s="69">
        <v>3</v>
      </c>
      <c r="BG49" s="63"/>
      <c r="BH49" s="62"/>
      <c r="BI49" s="63"/>
      <c r="BJ49" s="62"/>
      <c r="BK49" s="63"/>
      <c r="BL49" s="62"/>
      <c r="BM49" s="63"/>
      <c r="BN49" s="62"/>
      <c r="BO49" s="63"/>
      <c r="BP49" s="26"/>
      <c r="BR49" s="25"/>
      <c r="BS49" s="62"/>
      <c r="BT49" s="63"/>
      <c r="BU49" s="62"/>
      <c r="BV49" s="63"/>
      <c r="BW49" s="62"/>
      <c r="BX49" s="63"/>
      <c r="BY49" s="62"/>
      <c r="BZ49" s="63"/>
      <c r="CA49" s="69">
        <v>3</v>
      </c>
      <c r="CB49" s="63"/>
      <c r="CC49" s="62"/>
      <c r="CD49" s="63"/>
      <c r="CE49" s="62"/>
      <c r="CF49" s="63"/>
      <c r="CG49" s="26"/>
      <c r="CI49" s="25"/>
      <c r="CJ49" s="62"/>
      <c r="CK49" s="63"/>
      <c r="CL49" s="62"/>
      <c r="CM49" s="63"/>
      <c r="CN49" s="69">
        <v>3</v>
      </c>
      <c r="CO49" s="63"/>
      <c r="CP49" s="62"/>
      <c r="CQ49" s="63"/>
      <c r="CR49" s="62"/>
      <c r="CS49" s="63"/>
      <c r="CT49" s="62"/>
      <c r="CU49" s="63"/>
      <c r="CV49" s="62"/>
      <c r="CW49" s="63"/>
      <c r="CX49" s="26"/>
      <c r="CZ49" s="25"/>
      <c r="DA49" s="62"/>
      <c r="DB49" s="63"/>
      <c r="DC49" s="62"/>
      <c r="DD49" s="63"/>
      <c r="DE49" s="62"/>
      <c r="DF49" s="63"/>
      <c r="DG49" s="62"/>
      <c r="DH49" s="63"/>
      <c r="DI49" s="69">
        <v>3</v>
      </c>
      <c r="DJ49" s="63"/>
      <c r="DK49" s="62"/>
      <c r="DL49" s="63"/>
      <c r="DM49" s="62"/>
      <c r="DN49" s="63"/>
      <c r="DO49" s="26"/>
      <c r="DQ49" s="25"/>
      <c r="DR49" s="62"/>
      <c r="DS49" s="63"/>
      <c r="DT49" s="62"/>
      <c r="DU49" s="63"/>
      <c r="DV49" s="69">
        <v>3</v>
      </c>
      <c r="DW49" s="63"/>
      <c r="DX49" s="62"/>
      <c r="DY49" s="63"/>
      <c r="DZ49" s="69">
        <v>3</v>
      </c>
      <c r="EA49" s="63"/>
      <c r="EB49" s="62"/>
      <c r="EC49" s="63"/>
      <c r="ED49" s="62"/>
      <c r="EE49" s="63"/>
      <c r="EF49" s="43"/>
      <c r="EG49" s="34"/>
    </row>
    <row r="50" spans="1:137" ht="18" customHeight="1" x14ac:dyDescent="0.5">
      <c r="A50" s="18"/>
      <c r="B50" s="25"/>
      <c r="C50" s="64"/>
      <c r="D50" s="65"/>
      <c r="E50" s="64"/>
      <c r="F50" s="65"/>
      <c r="G50" s="64"/>
      <c r="H50" s="65"/>
      <c r="I50" s="64"/>
      <c r="J50" s="65"/>
      <c r="K50" s="64"/>
      <c r="L50" s="65"/>
      <c r="M50" s="64"/>
      <c r="N50" s="65"/>
      <c r="O50" s="64"/>
      <c r="P50" s="65"/>
      <c r="Q50" s="26"/>
      <c r="R50" s="20"/>
      <c r="S50" s="25"/>
      <c r="T50" s="64"/>
      <c r="U50" s="65"/>
      <c r="V50" s="64"/>
      <c r="W50" s="65"/>
      <c r="X50" s="64"/>
      <c r="Y50" s="65"/>
      <c r="Z50" s="64"/>
      <c r="AA50" s="65"/>
      <c r="AB50" s="64"/>
      <c r="AC50" s="65"/>
      <c r="AD50" s="64"/>
      <c r="AE50" s="65"/>
      <c r="AF50" s="64"/>
      <c r="AG50" s="65"/>
      <c r="AH50" s="26"/>
      <c r="AJ50" s="25"/>
      <c r="AK50" s="64"/>
      <c r="AL50" s="65"/>
      <c r="AM50" s="64"/>
      <c r="AN50" s="65"/>
      <c r="AO50" s="64"/>
      <c r="AP50" s="65"/>
      <c r="AQ50" s="64"/>
      <c r="AR50" s="65"/>
      <c r="AS50" s="64"/>
      <c r="AT50" s="65"/>
      <c r="AU50" s="64"/>
      <c r="AV50" s="65"/>
      <c r="AW50" s="64"/>
      <c r="AX50" s="65"/>
      <c r="AY50" s="26"/>
      <c r="BA50" s="25"/>
      <c r="BB50" s="64"/>
      <c r="BC50" s="65"/>
      <c r="BD50" s="64"/>
      <c r="BE50" s="65"/>
      <c r="BF50" s="64"/>
      <c r="BG50" s="65"/>
      <c r="BH50" s="64"/>
      <c r="BI50" s="65"/>
      <c r="BJ50" s="64"/>
      <c r="BK50" s="65"/>
      <c r="BL50" s="64"/>
      <c r="BM50" s="65"/>
      <c r="BN50" s="64"/>
      <c r="BO50" s="65"/>
      <c r="BP50" s="26"/>
      <c r="BR50" s="25"/>
      <c r="BS50" s="64"/>
      <c r="BT50" s="65"/>
      <c r="BU50" s="64"/>
      <c r="BV50" s="65"/>
      <c r="BW50" s="64"/>
      <c r="BX50" s="65"/>
      <c r="BY50" s="64"/>
      <c r="BZ50" s="65"/>
      <c r="CA50" s="64"/>
      <c r="CB50" s="65"/>
      <c r="CC50" s="64"/>
      <c r="CD50" s="65"/>
      <c r="CE50" s="64"/>
      <c r="CF50" s="65"/>
      <c r="CG50" s="26"/>
      <c r="CI50" s="25"/>
      <c r="CJ50" s="64"/>
      <c r="CK50" s="65"/>
      <c r="CL50" s="64"/>
      <c r="CM50" s="65"/>
      <c r="CN50" s="64"/>
      <c r="CO50" s="65"/>
      <c r="CP50" s="64"/>
      <c r="CQ50" s="65"/>
      <c r="CR50" s="64"/>
      <c r="CS50" s="65"/>
      <c r="CT50" s="64"/>
      <c r="CU50" s="65"/>
      <c r="CV50" s="64"/>
      <c r="CW50" s="65"/>
      <c r="CX50" s="26"/>
      <c r="CZ50" s="25"/>
      <c r="DA50" s="64"/>
      <c r="DB50" s="65"/>
      <c r="DC50" s="64"/>
      <c r="DD50" s="65"/>
      <c r="DE50" s="64"/>
      <c r="DF50" s="65"/>
      <c r="DG50" s="64"/>
      <c r="DH50" s="65"/>
      <c r="DI50" s="64"/>
      <c r="DJ50" s="65"/>
      <c r="DK50" s="64"/>
      <c r="DL50" s="65"/>
      <c r="DM50" s="64"/>
      <c r="DN50" s="65"/>
      <c r="DO50" s="26"/>
      <c r="DQ50" s="25"/>
      <c r="DR50" s="64"/>
      <c r="DS50" s="65"/>
      <c r="DT50" s="64"/>
      <c r="DU50" s="65"/>
      <c r="DV50" s="64"/>
      <c r="DW50" s="65"/>
      <c r="DX50" s="64"/>
      <c r="DY50" s="65"/>
      <c r="DZ50" s="64"/>
      <c r="EA50" s="65"/>
      <c r="EB50" s="64"/>
      <c r="EC50" s="65"/>
      <c r="ED50" s="64"/>
      <c r="EE50" s="65"/>
      <c r="EF50" s="43"/>
      <c r="EG50" s="34"/>
    </row>
    <row r="51" spans="1:137" ht="18" customHeight="1" x14ac:dyDescent="0.5">
      <c r="A51" s="18"/>
      <c r="B51" s="25"/>
      <c r="C51" s="22"/>
      <c r="D51" s="62"/>
      <c r="E51" s="63"/>
      <c r="F51" s="62"/>
      <c r="G51" s="63"/>
      <c r="H51" s="62"/>
      <c r="I51" s="63"/>
      <c r="J51" s="68">
        <v>4</v>
      </c>
      <c r="K51" s="63"/>
      <c r="L51" s="62"/>
      <c r="M51" s="63"/>
      <c r="N51" s="62"/>
      <c r="O51" s="63"/>
      <c r="P51" s="22"/>
      <c r="Q51" s="26"/>
      <c r="R51" s="20"/>
      <c r="S51" s="25"/>
      <c r="T51" s="22"/>
      <c r="U51" s="62"/>
      <c r="V51" s="63"/>
      <c r="W51" s="62"/>
      <c r="X51" s="63"/>
      <c r="Y51" s="62"/>
      <c r="Z51" s="63"/>
      <c r="AA51" s="68">
        <v>4</v>
      </c>
      <c r="AB51" s="63"/>
      <c r="AC51" s="62"/>
      <c r="AD51" s="63"/>
      <c r="AE51" s="62"/>
      <c r="AF51" s="63"/>
      <c r="AG51" s="22"/>
      <c r="AH51" s="26"/>
      <c r="AJ51" s="25"/>
      <c r="AK51" s="22"/>
      <c r="AL51" s="62"/>
      <c r="AM51" s="63"/>
      <c r="AN51" s="62"/>
      <c r="AO51" s="63"/>
      <c r="AP51" s="62"/>
      <c r="AQ51" s="63"/>
      <c r="AR51" s="68">
        <v>4</v>
      </c>
      <c r="AS51" s="63"/>
      <c r="AT51" s="62"/>
      <c r="AU51" s="63"/>
      <c r="AV51" s="62"/>
      <c r="AW51" s="63"/>
      <c r="AX51" s="22"/>
      <c r="AY51" s="26"/>
      <c r="BA51" s="25"/>
      <c r="BB51" s="22"/>
      <c r="BC51" s="62"/>
      <c r="BD51" s="63"/>
      <c r="BE51" s="62"/>
      <c r="BF51" s="63"/>
      <c r="BG51" s="69">
        <v>3</v>
      </c>
      <c r="BH51" s="63"/>
      <c r="BI51" s="69">
        <v>3</v>
      </c>
      <c r="BJ51" s="63"/>
      <c r="BK51" s="62"/>
      <c r="BL51" s="63"/>
      <c r="BM51" s="62"/>
      <c r="BN51" s="63"/>
      <c r="BO51" s="22"/>
      <c r="BP51" s="26"/>
      <c r="BR51" s="25"/>
      <c r="BS51" s="22"/>
      <c r="BT51" s="62"/>
      <c r="BU51" s="63"/>
      <c r="BV51" s="62"/>
      <c r="BW51" s="63"/>
      <c r="BX51" s="69">
        <v>3</v>
      </c>
      <c r="BY51" s="63"/>
      <c r="BZ51" s="69">
        <v>3</v>
      </c>
      <c r="CA51" s="63"/>
      <c r="CB51" s="62"/>
      <c r="CC51" s="63"/>
      <c r="CD51" s="62"/>
      <c r="CE51" s="63"/>
      <c r="CF51" s="22"/>
      <c r="CG51" s="26"/>
      <c r="CI51" s="25"/>
      <c r="CJ51" s="22"/>
      <c r="CK51" s="62"/>
      <c r="CL51" s="63"/>
      <c r="CM51" s="62"/>
      <c r="CN51" s="63"/>
      <c r="CO51" s="69">
        <v>3</v>
      </c>
      <c r="CP51" s="63"/>
      <c r="CQ51" s="62"/>
      <c r="CR51" s="63"/>
      <c r="CS51" s="62"/>
      <c r="CT51" s="63"/>
      <c r="CU51" s="62"/>
      <c r="CV51" s="63"/>
      <c r="CW51" s="22"/>
      <c r="CX51" s="26"/>
      <c r="CZ51" s="25"/>
      <c r="DA51" s="22"/>
      <c r="DB51" s="62"/>
      <c r="DC51" s="63"/>
      <c r="DD51" s="62"/>
      <c r="DE51" s="63"/>
      <c r="DF51" s="62"/>
      <c r="DG51" s="63"/>
      <c r="DH51" s="69">
        <v>3</v>
      </c>
      <c r="DI51" s="63"/>
      <c r="DJ51" s="62"/>
      <c r="DK51" s="63"/>
      <c r="DL51" s="62"/>
      <c r="DM51" s="63"/>
      <c r="DN51" s="22"/>
      <c r="DO51" s="26"/>
      <c r="DQ51" s="25"/>
      <c r="DR51" s="22"/>
      <c r="DS51" s="62"/>
      <c r="DT51" s="63"/>
      <c r="DU51" s="62"/>
      <c r="DV51" s="63"/>
      <c r="DW51" s="69">
        <v>3</v>
      </c>
      <c r="DX51" s="63"/>
      <c r="DY51" s="69">
        <v>3</v>
      </c>
      <c r="DZ51" s="63"/>
      <c r="EA51" s="62"/>
      <c r="EB51" s="63"/>
      <c r="EC51" s="62"/>
      <c r="ED51" s="63"/>
      <c r="EE51" s="22"/>
      <c r="EF51" s="43"/>
      <c r="EG51" s="34"/>
    </row>
    <row r="52" spans="1:137" ht="18" customHeight="1" x14ac:dyDescent="0.5">
      <c r="A52" s="18"/>
      <c r="B52" s="25"/>
      <c r="C52" s="22"/>
      <c r="D52" s="64"/>
      <c r="E52" s="65"/>
      <c r="F52" s="64"/>
      <c r="G52" s="65"/>
      <c r="H52" s="64"/>
      <c r="I52" s="65"/>
      <c r="J52" s="64"/>
      <c r="K52" s="65"/>
      <c r="L52" s="64"/>
      <c r="M52" s="65"/>
      <c r="N52" s="64"/>
      <c r="O52" s="65"/>
      <c r="P52" s="22"/>
      <c r="Q52" s="26"/>
      <c r="R52" s="20"/>
      <c r="S52" s="25"/>
      <c r="T52" s="22"/>
      <c r="U52" s="64"/>
      <c r="V52" s="65"/>
      <c r="W52" s="64"/>
      <c r="X52" s="65"/>
      <c r="Y52" s="64"/>
      <c r="Z52" s="65"/>
      <c r="AA52" s="64"/>
      <c r="AB52" s="65"/>
      <c r="AC52" s="64"/>
      <c r="AD52" s="65"/>
      <c r="AE52" s="64"/>
      <c r="AF52" s="65"/>
      <c r="AG52" s="22"/>
      <c r="AH52" s="26"/>
      <c r="AJ52" s="25"/>
      <c r="AK52" s="22"/>
      <c r="AL52" s="64"/>
      <c r="AM52" s="65"/>
      <c r="AN52" s="64"/>
      <c r="AO52" s="65"/>
      <c r="AP52" s="64"/>
      <c r="AQ52" s="65"/>
      <c r="AR52" s="64"/>
      <c r="AS52" s="65"/>
      <c r="AT52" s="64"/>
      <c r="AU52" s="65"/>
      <c r="AV52" s="64"/>
      <c r="AW52" s="65"/>
      <c r="AX52" s="22"/>
      <c r="AY52" s="26"/>
      <c r="BA52" s="25"/>
      <c r="BB52" s="22"/>
      <c r="BC52" s="64"/>
      <c r="BD52" s="65"/>
      <c r="BE52" s="64"/>
      <c r="BF52" s="65"/>
      <c r="BG52" s="64"/>
      <c r="BH52" s="65"/>
      <c r="BI52" s="64"/>
      <c r="BJ52" s="65"/>
      <c r="BK52" s="64"/>
      <c r="BL52" s="65"/>
      <c r="BM52" s="64"/>
      <c r="BN52" s="65"/>
      <c r="BO52" s="22"/>
      <c r="BP52" s="26"/>
      <c r="BR52" s="25"/>
      <c r="BS52" s="22"/>
      <c r="BT52" s="64"/>
      <c r="BU52" s="65"/>
      <c r="BV52" s="64"/>
      <c r="BW52" s="65"/>
      <c r="BX52" s="64"/>
      <c r="BY52" s="65"/>
      <c r="BZ52" s="64"/>
      <c r="CA52" s="65"/>
      <c r="CB52" s="64"/>
      <c r="CC52" s="65"/>
      <c r="CD52" s="64"/>
      <c r="CE52" s="65"/>
      <c r="CF52" s="22"/>
      <c r="CG52" s="26"/>
      <c r="CI52" s="25"/>
      <c r="CJ52" s="22"/>
      <c r="CK52" s="64"/>
      <c r="CL52" s="65"/>
      <c r="CM52" s="64"/>
      <c r="CN52" s="65"/>
      <c r="CO52" s="64"/>
      <c r="CP52" s="65"/>
      <c r="CQ52" s="64"/>
      <c r="CR52" s="65"/>
      <c r="CS52" s="64"/>
      <c r="CT52" s="65"/>
      <c r="CU52" s="64"/>
      <c r="CV52" s="65"/>
      <c r="CW52" s="22"/>
      <c r="CX52" s="26"/>
      <c r="CZ52" s="25"/>
      <c r="DA52" s="22"/>
      <c r="DB52" s="64"/>
      <c r="DC52" s="65"/>
      <c r="DD52" s="64"/>
      <c r="DE52" s="65"/>
      <c r="DF52" s="64"/>
      <c r="DG52" s="65"/>
      <c r="DH52" s="64"/>
      <c r="DI52" s="65"/>
      <c r="DJ52" s="64"/>
      <c r="DK52" s="65"/>
      <c r="DL52" s="64"/>
      <c r="DM52" s="65"/>
      <c r="DN52" s="22"/>
      <c r="DO52" s="26"/>
      <c r="DQ52" s="25"/>
      <c r="DR52" s="22"/>
      <c r="DS52" s="64"/>
      <c r="DT52" s="65"/>
      <c r="DU52" s="64"/>
      <c r="DV52" s="65"/>
      <c r="DW52" s="64"/>
      <c r="DX52" s="65"/>
      <c r="DY52" s="64"/>
      <c r="DZ52" s="65"/>
      <c r="EA52" s="64"/>
      <c r="EB52" s="65"/>
      <c r="EC52" s="64"/>
      <c r="ED52" s="65"/>
      <c r="EE52" s="22"/>
      <c r="EF52" s="43"/>
      <c r="EG52" s="34"/>
    </row>
    <row r="53" spans="1:137" ht="18" customHeight="1" x14ac:dyDescent="0.5">
      <c r="A53" s="18"/>
      <c r="B53" s="25"/>
      <c r="C53" s="22"/>
      <c r="D53" s="22"/>
      <c r="E53" s="62"/>
      <c r="F53" s="63"/>
      <c r="G53" s="62"/>
      <c r="H53" s="63"/>
      <c r="I53" s="62"/>
      <c r="J53" s="63"/>
      <c r="K53" s="62"/>
      <c r="L53" s="63"/>
      <c r="M53" s="62"/>
      <c r="N53" s="63"/>
      <c r="O53" s="22"/>
      <c r="P53" s="22"/>
      <c r="Q53" s="26"/>
      <c r="R53" s="20"/>
      <c r="S53" s="25"/>
      <c r="T53" s="22"/>
      <c r="U53" s="22"/>
      <c r="V53" s="62"/>
      <c r="W53" s="63"/>
      <c r="X53" s="62"/>
      <c r="Y53" s="63"/>
      <c r="Z53" s="62"/>
      <c r="AA53" s="63"/>
      <c r="AB53" s="62"/>
      <c r="AC53" s="63"/>
      <c r="AD53" s="62"/>
      <c r="AE53" s="63"/>
      <c r="AF53" s="22"/>
      <c r="AG53" s="22"/>
      <c r="AH53" s="26"/>
      <c r="AJ53" s="25"/>
      <c r="AK53" s="22"/>
      <c r="AL53" s="22"/>
      <c r="AM53" s="62"/>
      <c r="AN53" s="63"/>
      <c r="AO53" s="62"/>
      <c r="AP53" s="63"/>
      <c r="AQ53" s="62"/>
      <c r="AR53" s="63"/>
      <c r="AS53" s="62"/>
      <c r="AT53" s="63"/>
      <c r="AU53" s="62"/>
      <c r="AV53" s="63"/>
      <c r="AW53" s="22"/>
      <c r="AX53" s="22"/>
      <c r="AY53" s="26"/>
      <c r="BA53" s="25"/>
      <c r="BB53" s="22"/>
      <c r="BC53" s="22"/>
      <c r="BD53" s="62"/>
      <c r="BE53" s="63"/>
      <c r="BF53" s="62"/>
      <c r="BG53" s="63"/>
      <c r="BH53" s="62"/>
      <c r="BI53" s="63"/>
      <c r="BJ53" s="62"/>
      <c r="BK53" s="63"/>
      <c r="BL53" s="62"/>
      <c r="BM53" s="63"/>
      <c r="BN53" s="22"/>
      <c r="BO53" s="22"/>
      <c r="BP53" s="26"/>
      <c r="BR53" s="25"/>
      <c r="BS53" s="22"/>
      <c r="BT53" s="22"/>
      <c r="BU53" s="62"/>
      <c r="BV53" s="63"/>
      <c r="BW53" s="62"/>
      <c r="BX53" s="63"/>
      <c r="BY53" s="62"/>
      <c r="BZ53" s="63"/>
      <c r="CA53" s="62"/>
      <c r="CB53" s="63"/>
      <c r="CC53" s="62"/>
      <c r="CD53" s="63"/>
      <c r="CE53" s="22"/>
      <c r="CF53" s="22"/>
      <c r="CG53" s="26"/>
      <c r="CI53" s="25"/>
      <c r="CJ53" s="22"/>
      <c r="CK53" s="22"/>
      <c r="CL53" s="62"/>
      <c r="CM53" s="63"/>
      <c r="CN53" s="62"/>
      <c r="CO53" s="63"/>
      <c r="CP53" s="62"/>
      <c r="CQ53" s="63"/>
      <c r="CR53" s="62"/>
      <c r="CS53" s="63"/>
      <c r="CT53" s="62"/>
      <c r="CU53" s="63"/>
      <c r="CV53" s="22"/>
      <c r="CW53" s="22"/>
      <c r="CX53" s="26"/>
      <c r="CZ53" s="25"/>
      <c r="DA53" s="22"/>
      <c r="DB53" s="22"/>
      <c r="DC53" s="62"/>
      <c r="DD53" s="63"/>
      <c r="DE53" s="62"/>
      <c r="DF53" s="63"/>
      <c r="DG53" s="62"/>
      <c r="DH53" s="63"/>
      <c r="DI53" s="62"/>
      <c r="DJ53" s="63"/>
      <c r="DK53" s="62"/>
      <c r="DL53" s="63"/>
      <c r="DM53" s="22"/>
      <c r="DN53" s="22"/>
      <c r="DO53" s="26"/>
      <c r="DQ53" s="25"/>
      <c r="DR53" s="22"/>
      <c r="DS53" s="22"/>
      <c r="DT53" s="62"/>
      <c r="DU53" s="63"/>
      <c r="DV53" s="62"/>
      <c r="DW53" s="63"/>
      <c r="DX53" s="62"/>
      <c r="DY53" s="63"/>
      <c r="DZ53" s="62"/>
      <c r="EA53" s="63"/>
      <c r="EB53" s="62"/>
      <c r="EC53" s="63"/>
      <c r="ED53" s="22"/>
      <c r="EE53" s="22"/>
      <c r="EF53" s="43"/>
      <c r="EG53" s="34"/>
    </row>
    <row r="54" spans="1:137" ht="18" customHeight="1" x14ac:dyDescent="0.5">
      <c r="A54" s="18"/>
      <c r="B54" s="25"/>
      <c r="C54" s="22"/>
      <c r="D54" s="22"/>
      <c r="E54" s="64"/>
      <c r="F54" s="65"/>
      <c r="G54" s="64"/>
      <c r="H54" s="65"/>
      <c r="I54" s="64"/>
      <c r="J54" s="65"/>
      <c r="K54" s="64"/>
      <c r="L54" s="65"/>
      <c r="M54" s="64"/>
      <c r="N54" s="65"/>
      <c r="O54" s="22"/>
      <c r="P54" s="22"/>
      <c r="Q54" s="26"/>
      <c r="R54" s="20"/>
      <c r="S54" s="25"/>
      <c r="T54" s="22"/>
      <c r="U54" s="22"/>
      <c r="V54" s="64"/>
      <c r="W54" s="65"/>
      <c r="X54" s="64"/>
      <c r="Y54" s="65"/>
      <c r="Z54" s="64"/>
      <c r="AA54" s="65"/>
      <c r="AB54" s="64"/>
      <c r="AC54" s="65"/>
      <c r="AD54" s="64"/>
      <c r="AE54" s="65"/>
      <c r="AF54" s="22"/>
      <c r="AG54" s="22"/>
      <c r="AH54" s="26"/>
      <c r="AJ54" s="25"/>
      <c r="AK54" s="22"/>
      <c r="AL54" s="22"/>
      <c r="AM54" s="64"/>
      <c r="AN54" s="65"/>
      <c r="AO54" s="64"/>
      <c r="AP54" s="65"/>
      <c r="AQ54" s="64"/>
      <c r="AR54" s="65"/>
      <c r="AS54" s="64"/>
      <c r="AT54" s="65"/>
      <c r="AU54" s="64"/>
      <c r="AV54" s="65"/>
      <c r="AW54" s="22"/>
      <c r="AX54" s="22"/>
      <c r="AY54" s="26"/>
      <c r="BA54" s="25"/>
      <c r="BB54" s="22"/>
      <c r="BC54" s="22"/>
      <c r="BD54" s="64"/>
      <c r="BE54" s="65"/>
      <c r="BF54" s="64"/>
      <c r="BG54" s="65"/>
      <c r="BH54" s="64"/>
      <c r="BI54" s="65"/>
      <c r="BJ54" s="64"/>
      <c r="BK54" s="65"/>
      <c r="BL54" s="64"/>
      <c r="BM54" s="65"/>
      <c r="BN54" s="22"/>
      <c r="BO54" s="22"/>
      <c r="BP54" s="26"/>
      <c r="BR54" s="25"/>
      <c r="BS54" s="22"/>
      <c r="BT54" s="22"/>
      <c r="BU54" s="64"/>
      <c r="BV54" s="65"/>
      <c r="BW54" s="64"/>
      <c r="BX54" s="65"/>
      <c r="BY54" s="64"/>
      <c r="BZ54" s="65"/>
      <c r="CA54" s="64"/>
      <c r="CB54" s="65"/>
      <c r="CC54" s="64"/>
      <c r="CD54" s="65"/>
      <c r="CE54" s="22"/>
      <c r="CF54" s="22"/>
      <c r="CG54" s="26"/>
      <c r="CI54" s="25"/>
      <c r="CJ54" s="22"/>
      <c r="CK54" s="22"/>
      <c r="CL54" s="64"/>
      <c r="CM54" s="65"/>
      <c r="CN54" s="64"/>
      <c r="CO54" s="65"/>
      <c r="CP54" s="64"/>
      <c r="CQ54" s="65"/>
      <c r="CR54" s="64"/>
      <c r="CS54" s="65"/>
      <c r="CT54" s="64"/>
      <c r="CU54" s="65"/>
      <c r="CV54" s="22"/>
      <c r="CW54" s="22"/>
      <c r="CX54" s="26"/>
      <c r="CZ54" s="25"/>
      <c r="DA54" s="22"/>
      <c r="DB54" s="22"/>
      <c r="DC54" s="64"/>
      <c r="DD54" s="65"/>
      <c r="DE54" s="64"/>
      <c r="DF54" s="65"/>
      <c r="DG54" s="64"/>
      <c r="DH54" s="65"/>
      <c r="DI54" s="64"/>
      <c r="DJ54" s="65"/>
      <c r="DK54" s="64"/>
      <c r="DL54" s="65"/>
      <c r="DM54" s="22"/>
      <c r="DN54" s="22"/>
      <c r="DO54" s="26"/>
      <c r="DQ54" s="25"/>
      <c r="DR54" s="22"/>
      <c r="DS54" s="22"/>
      <c r="DT54" s="64"/>
      <c r="DU54" s="65"/>
      <c r="DV54" s="64"/>
      <c r="DW54" s="65"/>
      <c r="DX54" s="64"/>
      <c r="DY54" s="65"/>
      <c r="DZ54" s="64"/>
      <c r="EA54" s="65"/>
      <c r="EB54" s="64"/>
      <c r="EC54" s="65"/>
      <c r="ED54" s="22"/>
      <c r="EE54" s="22"/>
      <c r="EF54" s="43"/>
      <c r="EG54" s="34"/>
    </row>
    <row r="55" spans="1:137" ht="18" customHeight="1" x14ac:dyDescent="0.5">
      <c r="A55" s="18"/>
      <c r="B55" s="25"/>
      <c r="C55" s="21"/>
      <c r="D55" s="22"/>
      <c r="E55" s="22"/>
      <c r="F55" s="62"/>
      <c r="G55" s="63"/>
      <c r="H55" s="62"/>
      <c r="I55" s="63"/>
      <c r="J55" s="62"/>
      <c r="K55" s="63"/>
      <c r="L55" s="62"/>
      <c r="M55" s="63"/>
      <c r="N55" s="22"/>
      <c r="O55" s="22"/>
      <c r="P55" s="21"/>
      <c r="Q55" s="26"/>
      <c r="R55" s="20"/>
      <c r="S55" s="25"/>
      <c r="T55" s="21"/>
      <c r="U55" s="22"/>
      <c r="V55" s="22"/>
      <c r="W55" s="62"/>
      <c r="X55" s="63"/>
      <c r="Y55" s="62"/>
      <c r="Z55" s="63"/>
      <c r="AA55" s="62"/>
      <c r="AB55" s="63"/>
      <c r="AC55" s="62"/>
      <c r="AD55" s="63"/>
      <c r="AE55" s="22"/>
      <c r="AF55" s="22"/>
      <c r="AG55" s="21"/>
      <c r="AH55" s="26"/>
      <c r="AJ55" s="25"/>
      <c r="AK55" s="21"/>
      <c r="AL55" s="22"/>
      <c r="AM55" s="22"/>
      <c r="AN55" s="62"/>
      <c r="AO55" s="63"/>
      <c r="AP55" s="62"/>
      <c r="AQ55" s="63"/>
      <c r="AR55" s="62"/>
      <c r="AS55" s="63"/>
      <c r="AT55" s="62"/>
      <c r="AU55" s="63"/>
      <c r="AV55" s="22"/>
      <c r="AW55" s="22"/>
      <c r="AX55" s="21"/>
      <c r="AY55" s="26"/>
      <c r="BA55" s="25"/>
      <c r="BB55" s="21"/>
      <c r="BC55" s="22"/>
      <c r="BD55" s="22"/>
      <c r="BE55" s="62"/>
      <c r="BF55" s="63"/>
      <c r="BG55" s="62"/>
      <c r="BH55" s="63"/>
      <c r="BI55" s="62"/>
      <c r="BJ55" s="63"/>
      <c r="BK55" s="62"/>
      <c r="BL55" s="63"/>
      <c r="BM55" s="22"/>
      <c r="BN55" s="22"/>
      <c r="BO55" s="21"/>
      <c r="BP55" s="26"/>
      <c r="BR55" s="25"/>
      <c r="BS55" s="21"/>
      <c r="BT55" s="22"/>
      <c r="BU55" s="22"/>
      <c r="BV55" s="62"/>
      <c r="BW55" s="63"/>
      <c r="BX55" s="62"/>
      <c r="BY55" s="63"/>
      <c r="BZ55" s="62"/>
      <c r="CA55" s="63"/>
      <c r="CB55" s="62"/>
      <c r="CC55" s="63"/>
      <c r="CD55" s="22"/>
      <c r="CE55" s="22"/>
      <c r="CF55" s="21"/>
      <c r="CG55" s="26"/>
      <c r="CI55" s="25"/>
      <c r="CJ55" s="21"/>
      <c r="CK55" s="22"/>
      <c r="CL55" s="22"/>
      <c r="CM55" s="62"/>
      <c r="CN55" s="63"/>
      <c r="CO55" s="62"/>
      <c r="CP55" s="63"/>
      <c r="CQ55" s="62"/>
      <c r="CR55" s="63"/>
      <c r="CS55" s="62"/>
      <c r="CT55" s="63"/>
      <c r="CU55" s="22"/>
      <c r="CV55" s="22"/>
      <c r="CW55" s="21"/>
      <c r="CX55" s="26"/>
      <c r="CZ55" s="25"/>
      <c r="DA55" s="21"/>
      <c r="DB55" s="22"/>
      <c r="DC55" s="22"/>
      <c r="DD55" s="62"/>
      <c r="DE55" s="63"/>
      <c r="DF55" s="62"/>
      <c r="DG55" s="63"/>
      <c r="DH55" s="62"/>
      <c r="DI55" s="63"/>
      <c r="DJ55" s="62"/>
      <c r="DK55" s="63"/>
      <c r="DL55" s="22"/>
      <c r="DM55" s="22"/>
      <c r="DN55" s="21"/>
      <c r="DO55" s="26"/>
      <c r="DQ55" s="25"/>
      <c r="DR55" s="21"/>
      <c r="DS55" s="22"/>
      <c r="DT55" s="22"/>
      <c r="DU55" s="62"/>
      <c r="DV55" s="63"/>
      <c r="DW55" s="62"/>
      <c r="DX55" s="63"/>
      <c r="DY55" s="62"/>
      <c r="DZ55" s="63"/>
      <c r="EA55" s="62"/>
      <c r="EB55" s="63"/>
      <c r="EC55" s="22"/>
      <c r="ED55" s="22"/>
      <c r="EE55" s="21"/>
      <c r="EF55" s="43"/>
      <c r="EG55" s="34"/>
    </row>
    <row r="56" spans="1:137" ht="18" customHeight="1" x14ac:dyDescent="0.5">
      <c r="A56" s="18"/>
      <c r="B56" s="25"/>
      <c r="C56" s="21"/>
      <c r="D56" s="22"/>
      <c r="E56" s="22"/>
      <c r="F56" s="64"/>
      <c r="G56" s="65"/>
      <c r="H56" s="64"/>
      <c r="I56" s="65"/>
      <c r="J56" s="64"/>
      <c r="K56" s="65"/>
      <c r="L56" s="64"/>
      <c r="M56" s="65"/>
      <c r="N56" s="22"/>
      <c r="O56" s="22"/>
      <c r="P56" s="21"/>
      <c r="Q56" s="26"/>
      <c r="R56" s="20"/>
      <c r="S56" s="25"/>
      <c r="T56" s="21"/>
      <c r="U56" s="22"/>
      <c r="V56" s="22"/>
      <c r="W56" s="64"/>
      <c r="X56" s="65"/>
      <c r="Y56" s="64"/>
      <c r="Z56" s="65"/>
      <c r="AA56" s="64"/>
      <c r="AB56" s="65"/>
      <c r="AC56" s="64"/>
      <c r="AD56" s="65"/>
      <c r="AE56" s="22"/>
      <c r="AF56" s="22"/>
      <c r="AG56" s="21"/>
      <c r="AH56" s="26"/>
      <c r="AJ56" s="25"/>
      <c r="AK56" s="21"/>
      <c r="AL56" s="22"/>
      <c r="AM56" s="22"/>
      <c r="AN56" s="64"/>
      <c r="AO56" s="65"/>
      <c r="AP56" s="64"/>
      <c r="AQ56" s="65"/>
      <c r="AR56" s="64"/>
      <c r="AS56" s="65"/>
      <c r="AT56" s="64"/>
      <c r="AU56" s="65"/>
      <c r="AV56" s="22"/>
      <c r="AW56" s="22"/>
      <c r="AX56" s="21"/>
      <c r="AY56" s="26"/>
      <c r="BA56" s="25"/>
      <c r="BB56" s="21"/>
      <c r="BC56" s="22"/>
      <c r="BD56" s="22"/>
      <c r="BE56" s="64"/>
      <c r="BF56" s="65"/>
      <c r="BG56" s="64"/>
      <c r="BH56" s="65"/>
      <c r="BI56" s="64"/>
      <c r="BJ56" s="65"/>
      <c r="BK56" s="64"/>
      <c r="BL56" s="65"/>
      <c r="BM56" s="22"/>
      <c r="BN56" s="22"/>
      <c r="BO56" s="21"/>
      <c r="BP56" s="26"/>
      <c r="BR56" s="25"/>
      <c r="BS56" s="21"/>
      <c r="BT56" s="22"/>
      <c r="BU56" s="22"/>
      <c r="BV56" s="64"/>
      <c r="BW56" s="65"/>
      <c r="BX56" s="64"/>
      <c r="BY56" s="65"/>
      <c r="BZ56" s="64"/>
      <c r="CA56" s="65"/>
      <c r="CB56" s="64"/>
      <c r="CC56" s="65"/>
      <c r="CD56" s="22"/>
      <c r="CE56" s="22"/>
      <c r="CF56" s="21"/>
      <c r="CG56" s="26"/>
      <c r="CI56" s="25"/>
      <c r="CJ56" s="21"/>
      <c r="CK56" s="22"/>
      <c r="CL56" s="22"/>
      <c r="CM56" s="64"/>
      <c r="CN56" s="65"/>
      <c r="CO56" s="64"/>
      <c r="CP56" s="65"/>
      <c r="CQ56" s="64"/>
      <c r="CR56" s="65"/>
      <c r="CS56" s="64"/>
      <c r="CT56" s="65"/>
      <c r="CU56" s="22"/>
      <c r="CV56" s="22"/>
      <c r="CW56" s="21"/>
      <c r="CX56" s="26"/>
      <c r="CZ56" s="25"/>
      <c r="DA56" s="21"/>
      <c r="DB56" s="22"/>
      <c r="DC56" s="22"/>
      <c r="DD56" s="64"/>
      <c r="DE56" s="65"/>
      <c r="DF56" s="64"/>
      <c r="DG56" s="65"/>
      <c r="DH56" s="64"/>
      <c r="DI56" s="65"/>
      <c r="DJ56" s="64"/>
      <c r="DK56" s="65"/>
      <c r="DL56" s="22"/>
      <c r="DM56" s="22"/>
      <c r="DN56" s="21"/>
      <c r="DO56" s="26"/>
      <c r="DQ56" s="25"/>
      <c r="DR56" s="21"/>
      <c r="DS56" s="22"/>
      <c r="DT56" s="22"/>
      <c r="DU56" s="64"/>
      <c r="DV56" s="65"/>
      <c r="DW56" s="64"/>
      <c r="DX56" s="65"/>
      <c r="DY56" s="64"/>
      <c r="DZ56" s="65"/>
      <c r="EA56" s="64"/>
      <c r="EB56" s="65"/>
      <c r="EC56" s="22"/>
      <c r="ED56" s="22"/>
      <c r="EE56" s="21"/>
      <c r="EF56" s="43"/>
      <c r="EG56" s="34"/>
    </row>
    <row r="57" spans="1:137" ht="18" customHeight="1" x14ac:dyDescent="0.5">
      <c r="A57" s="18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27"/>
      <c r="S57" s="3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27"/>
      <c r="AJ57" s="3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27"/>
      <c r="BA57" s="3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27"/>
      <c r="BR57" s="3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27"/>
      <c r="CI57" s="3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27"/>
      <c r="CZ57" s="3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27"/>
      <c r="DQ57" s="3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4"/>
      <c r="EG57" s="34"/>
    </row>
    <row r="58" spans="1:137" ht="18" customHeight="1" x14ac:dyDescent="0.5">
      <c r="A58" s="18"/>
      <c r="B58" s="28"/>
      <c r="C58" s="90" t="str">
        <f ca="1">GetHexStr(C43:P56)</f>
        <v>(-1,-2,4,);(0,0,4,);(2,0,4,);(1,2,4,);</v>
      </c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2"/>
      <c r="Q58" s="27"/>
      <c r="S58" s="28"/>
      <c r="T58" s="90" t="str">
        <f ca="1">GetHexStr(T43:AG56)</f>
        <v>(-1,-2,4,);(-2,0,4,);(0,0,4,);(1,2,4,);</v>
      </c>
      <c r="U58" s="91"/>
      <c r="V58" s="91"/>
      <c r="W58" s="91"/>
      <c r="X58" s="91"/>
      <c r="Y58" s="91"/>
      <c r="Z58" s="91"/>
      <c r="AA58" s="91"/>
      <c r="AB58" s="91"/>
      <c r="AC58" s="91"/>
      <c r="AD58" s="91"/>
      <c r="AE58" s="91"/>
      <c r="AF58" s="91"/>
      <c r="AG58" s="92"/>
      <c r="AH58" s="27"/>
      <c r="AJ58" s="28"/>
      <c r="AK58" s="90" t="str">
        <f ca="1">GetHexStr(AK43:AX56)</f>
        <v>(-1,-2,4,);(1,-2,4,);(0,0,4,);(1,2,4,);</v>
      </c>
      <c r="AL58" s="91"/>
      <c r="AM58" s="91"/>
      <c r="AN58" s="91"/>
      <c r="AO58" s="91"/>
      <c r="AP58" s="91"/>
      <c r="AQ58" s="91"/>
      <c r="AR58" s="91"/>
      <c r="AS58" s="91"/>
      <c r="AT58" s="91"/>
      <c r="AU58" s="91"/>
      <c r="AV58" s="91"/>
      <c r="AW58" s="91"/>
      <c r="AX58" s="92"/>
      <c r="AY58" s="27"/>
      <c r="BA58" s="28"/>
      <c r="BB58" s="90" t="str">
        <f ca="1">GetHexStr(BB43:BO56)</f>
        <v>(-1,-2,3,);(-2,0,3,);(-1,2,3,);(1,2,3,);</v>
      </c>
      <c r="BC58" s="91"/>
      <c r="BD58" s="91"/>
      <c r="BE58" s="91"/>
      <c r="BF58" s="91"/>
      <c r="BG58" s="91"/>
      <c r="BH58" s="91"/>
      <c r="BI58" s="91"/>
      <c r="BJ58" s="91"/>
      <c r="BK58" s="91"/>
      <c r="BL58" s="91"/>
      <c r="BM58" s="91"/>
      <c r="BN58" s="91"/>
      <c r="BO58" s="92"/>
      <c r="BP58" s="27"/>
      <c r="BR58" s="28"/>
      <c r="BS58" s="90" t="str">
        <f ca="1">GetHexStr(BS43:CF56)</f>
        <v>(1,-2,3,);(2,0,3,);(-1,2,3,);(1,2,3,);</v>
      </c>
      <c r="BT58" s="91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2"/>
      <c r="CG58" s="27"/>
      <c r="CI58" s="28"/>
      <c r="CJ58" s="90" t="str">
        <f ca="1">GetHexStr(CJ43:CW56)</f>
        <v>(-1,-2,3,);(1,-2,3,);(-2,0,3,);(-1,2,3,);</v>
      </c>
      <c r="CK58" s="91"/>
      <c r="CL58" s="91"/>
      <c r="CM58" s="91"/>
      <c r="CN58" s="91"/>
      <c r="CO58" s="91"/>
      <c r="CP58" s="91"/>
      <c r="CQ58" s="91"/>
      <c r="CR58" s="91"/>
      <c r="CS58" s="91"/>
      <c r="CT58" s="91"/>
      <c r="CU58" s="91"/>
      <c r="CV58" s="91"/>
      <c r="CW58" s="92"/>
      <c r="CX58" s="27"/>
      <c r="CZ58" s="28"/>
      <c r="DA58" s="90" t="str">
        <f ca="1">GetHexStr(DA43:DN56)</f>
        <v>(-1,-2,3,);(1,-2,3,);(2,0,3,);(1,2,3,);</v>
      </c>
      <c r="DB58" s="91"/>
      <c r="DC58" s="91"/>
      <c r="DD58" s="91"/>
      <c r="DE58" s="91"/>
      <c r="DF58" s="91"/>
      <c r="DG58" s="91"/>
      <c r="DH58" s="91"/>
      <c r="DI58" s="91"/>
      <c r="DJ58" s="91"/>
      <c r="DK58" s="91"/>
      <c r="DL58" s="91"/>
      <c r="DM58" s="91"/>
      <c r="DN58" s="92"/>
      <c r="DO58" s="27"/>
      <c r="DQ58" s="45"/>
      <c r="DR58" s="96" t="str">
        <f ca="1">GetHexStr(DR43:EE56)</f>
        <v>(-2,0,3,);(2,0,3,);(-1,2,3,);(1,2,3,);</v>
      </c>
      <c r="DS58" s="97"/>
      <c r="DT58" s="97"/>
      <c r="DU58" s="97"/>
      <c r="DV58" s="97"/>
      <c r="DW58" s="97"/>
      <c r="DX58" s="97"/>
      <c r="DY58" s="97"/>
      <c r="DZ58" s="97"/>
      <c r="EA58" s="97"/>
      <c r="EB58" s="97"/>
      <c r="EC58" s="97"/>
      <c r="ED58" s="97"/>
      <c r="EE58" s="98"/>
      <c r="EF58" s="44"/>
      <c r="EG58" s="34"/>
    </row>
    <row r="59" spans="1:137" ht="18" customHeight="1" x14ac:dyDescent="0.5">
      <c r="B59" s="28"/>
      <c r="C59" s="93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5"/>
      <c r="Q59" s="27"/>
      <c r="S59" s="28"/>
      <c r="T59" s="93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5"/>
      <c r="AH59" s="27"/>
      <c r="AJ59" s="28"/>
      <c r="AK59" s="93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5"/>
      <c r="AY59" s="27"/>
      <c r="BA59" s="28"/>
      <c r="BB59" s="93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5"/>
      <c r="BP59" s="27"/>
      <c r="BR59" s="28"/>
      <c r="BS59" s="93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5"/>
      <c r="CG59" s="27"/>
      <c r="CI59" s="28"/>
      <c r="CJ59" s="93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5"/>
      <c r="CX59" s="27"/>
      <c r="CZ59" s="28"/>
      <c r="DA59" s="93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5"/>
      <c r="DO59" s="27"/>
      <c r="DQ59" s="45"/>
      <c r="DR59" s="99"/>
      <c r="DS59" s="100"/>
      <c r="DT59" s="100"/>
      <c r="DU59" s="100"/>
      <c r="DV59" s="100"/>
      <c r="DW59" s="100"/>
      <c r="DX59" s="100"/>
      <c r="DY59" s="100"/>
      <c r="DZ59" s="100"/>
      <c r="EA59" s="100"/>
      <c r="EB59" s="100"/>
      <c r="EC59" s="100"/>
      <c r="ED59" s="100"/>
      <c r="EE59" s="101"/>
      <c r="EF59" s="44"/>
      <c r="EG59" s="34"/>
    </row>
    <row r="60" spans="1:137" ht="18" customHeight="1" thickBot="1" x14ac:dyDescent="0.55000000000000004">
      <c r="B60" s="2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1"/>
      <c r="S60" s="29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1"/>
      <c r="AJ60" s="29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1"/>
      <c r="BA60" s="29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1"/>
      <c r="BR60" s="29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1"/>
      <c r="CI60" s="29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1"/>
      <c r="CZ60" s="29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1"/>
      <c r="DQ60" s="46"/>
      <c r="DR60" s="47"/>
      <c r="DS60" s="47"/>
      <c r="DT60" s="47"/>
      <c r="DU60" s="47"/>
      <c r="DV60" s="47"/>
      <c r="DW60" s="47"/>
      <c r="DX60" s="47"/>
      <c r="DY60" s="47"/>
      <c r="DZ60" s="47"/>
      <c r="EA60" s="47"/>
      <c r="EB60" s="47"/>
      <c r="EC60" s="47"/>
      <c r="ED60" s="47"/>
      <c r="EE60" s="47"/>
      <c r="EF60" s="48"/>
      <c r="EG60" s="34"/>
    </row>
    <row r="61" spans="1:137" ht="18" customHeight="1" thickBot="1" x14ac:dyDescent="0.55000000000000004"/>
    <row r="62" spans="1:137" s="18" customFormat="1" ht="18" customHeight="1" x14ac:dyDescent="0.5">
      <c r="B62" s="107">
        <v>3</v>
      </c>
      <c r="C62" s="10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4"/>
      <c r="R62" s="19"/>
      <c r="S62" s="86">
        <v>4</v>
      </c>
      <c r="T62" s="10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42"/>
      <c r="AI62" s="33"/>
      <c r="AJ62" s="86">
        <v>4</v>
      </c>
      <c r="AK62" s="87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42"/>
      <c r="AZ62" s="33"/>
      <c r="BA62" s="86">
        <v>4</v>
      </c>
      <c r="BB62" s="87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42"/>
      <c r="BQ62" s="33"/>
      <c r="BR62" s="86">
        <v>4</v>
      </c>
      <c r="BS62" s="87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42"/>
      <c r="CH62" s="33"/>
      <c r="CI62" s="86">
        <v>4</v>
      </c>
      <c r="CJ62" s="87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42"/>
      <c r="CY62" s="33"/>
      <c r="CZ62" s="86">
        <v>4</v>
      </c>
      <c r="DA62" s="103"/>
      <c r="DB62" s="23"/>
      <c r="DC62" s="23"/>
      <c r="DD62" s="23"/>
      <c r="DE62" s="23"/>
      <c r="DF62" s="23"/>
      <c r="DG62" s="23"/>
      <c r="DH62" s="23"/>
      <c r="DI62" s="23"/>
      <c r="DJ62" s="23"/>
      <c r="DK62" s="23"/>
      <c r="DL62" s="23"/>
      <c r="DM62" s="23"/>
      <c r="DN62" s="23"/>
      <c r="DO62" s="42"/>
      <c r="DP62" s="33"/>
      <c r="DQ62" s="86">
        <v>4</v>
      </c>
      <c r="DR62" s="103"/>
      <c r="DS62" s="23"/>
      <c r="DT62" s="23"/>
      <c r="DU62" s="23"/>
      <c r="DV62" s="23"/>
      <c r="DW62" s="23"/>
      <c r="DX62" s="23"/>
      <c r="DY62" s="23"/>
      <c r="DZ62" s="23"/>
      <c r="EA62" s="23"/>
      <c r="EB62" s="23"/>
      <c r="EC62" s="23"/>
      <c r="ED62" s="23"/>
      <c r="EE62" s="23"/>
      <c r="EF62" s="42"/>
    </row>
    <row r="63" spans="1:137" s="18" customFormat="1" ht="18" customHeight="1" thickBot="1" x14ac:dyDescent="0.55000000000000004">
      <c r="B63" s="104"/>
      <c r="C63" s="105"/>
      <c r="D63" s="22"/>
      <c r="E63" s="22"/>
      <c r="F63" s="62"/>
      <c r="G63" s="63"/>
      <c r="H63" s="62"/>
      <c r="I63" s="63"/>
      <c r="J63" s="62"/>
      <c r="K63" s="63"/>
      <c r="L63" s="62"/>
      <c r="M63" s="63"/>
      <c r="N63" s="22"/>
      <c r="O63" s="22"/>
      <c r="P63" s="21"/>
      <c r="Q63" s="26"/>
      <c r="R63" s="19"/>
      <c r="S63" s="104"/>
      <c r="T63" s="105"/>
      <c r="U63" s="22"/>
      <c r="V63" s="22"/>
      <c r="W63" s="62"/>
      <c r="X63" s="63"/>
      <c r="Y63" s="62"/>
      <c r="Z63" s="63"/>
      <c r="AA63" s="62"/>
      <c r="AB63" s="63"/>
      <c r="AC63" s="62"/>
      <c r="AD63" s="63"/>
      <c r="AE63" s="22"/>
      <c r="AF63" s="22"/>
      <c r="AG63" s="21"/>
      <c r="AH63" s="43"/>
      <c r="AI63" s="33"/>
      <c r="AJ63" s="88"/>
      <c r="AK63" s="89"/>
      <c r="AL63" s="22"/>
      <c r="AM63" s="22"/>
      <c r="AN63" s="62"/>
      <c r="AO63" s="63"/>
      <c r="AP63" s="62"/>
      <c r="AQ63" s="63"/>
      <c r="AR63" s="62"/>
      <c r="AS63" s="63"/>
      <c r="AT63" s="62"/>
      <c r="AU63" s="63"/>
      <c r="AV63" s="22"/>
      <c r="AW63" s="22"/>
      <c r="AX63" s="21"/>
      <c r="AY63" s="43"/>
      <c r="AZ63" s="33"/>
      <c r="BA63" s="88"/>
      <c r="BB63" s="89"/>
      <c r="BC63" s="22"/>
      <c r="BD63" s="22"/>
      <c r="BE63" s="62"/>
      <c r="BF63" s="63"/>
      <c r="BG63" s="62"/>
      <c r="BH63" s="63"/>
      <c r="BI63" s="62"/>
      <c r="BJ63" s="63"/>
      <c r="BK63" s="62"/>
      <c r="BL63" s="63"/>
      <c r="BM63" s="22"/>
      <c r="BN63" s="22"/>
      <c r="BO63" s="21"/>
      <c r="BP63" s="43"/>
      <c r="BQ63" s="33"/>
      <c r="BR63" s="88"/>
      <c r="BS63" s="89"/>
      <c r="BT63" s="22"/>
      <c r="BU63" s="22"/>
      <c r="BV63" s="62"/>
      <c r="BW63" s="63"/>
      <c r="BX63" s="62"/>
      <c r="BY63" s="63"/>
      <c r="BZ63" s="62"/>
      <c r="CA63" s="63"/>
      <c r="CB63" s="62"/>
      <c r="CC63" s="63"/>
      <c r="CD63" s="22"/>
      <c r="CE63" s="22"/>
      <c r="CF63" s="21"/>
      <c r="CG63" s="43"/>
      <c r="CH63" s="33"/>
      <c r="CI63" s="88"/>
      <c r="CJ63" s="89"/>
      <c r="CK63" s="22"/>
      <c r="CL63" s="22"/>
      <c r="CM63" s="62"/>
      <c r="CN63" s="63"/>
      <c r="CO63" s="62"/>
      <c r="CP63" s="63"/>
      <c r="CQ63" s="62"/>
      <c r="CR63" s="63"/>
      <c r="CS63" s="62"/>
      <c r="CT63" s="63"/>
      <c r="CU63" s="22"/>
      <c r="CV63" s="22"/>
      <c r="CW63" s="21"/>
      <c r="CX63" s="43"/>
      <c r="CY63" s="33"/>
      <c r="CZ63" s="104"/>
      <c r="DA63" s="105"/>
      <c r="DB63" s="22"/>
      <c r="DC63" s="22"/>
      <c r="DD63" s="62"/>
      <c r="DE63" s="63"/>
      <c r="DF63" s="62"/>
      <c r="DG63" s="63"/>
      <c r="DH63" s="62"/>
      <c r="DI63" s="63"/>
      <c r="DJ63" s="62"/>
      <c r="DK63" s="63"/>
      <c r="DL63" s="22"/>
      <c r="DM63" s="22"/>
      <c r="DN63" s="21"/>
      <c r="DO63" s="43"/>
      <c r="DP63" s="33"/>
      <c r="DQ63" s="104"/>
      <c r="DR63" s="105"/>
      <c r="DS63" s="22"/>
      <c r="DT63" s="22"/>
      <c r="DU63" s="62"/>
      <c r="DV63" s="63"/>
      <c r="DW63" s="62"/>
      <c r="DX63" s="63"/>
      <c r="DY63" s="62"/>
      <c r="DZ63" s="63"/>
      <c r="EA63" s="62"/>
      <c r="EB63" s="63"/>
      <c r="EC63" s="22"/>
      <c r="ED63" s="22"/>
      <c r="EE63" s="21"/>
      <c r="EF63" s="43"/>
    </row>
    <row r="64" spans="1:137" s="18" customFormat="1" ht="18" customHeight="1" x14ac:dyDescent="0.5">
      <c r="B64" s="25"/>
      <c r="C64" s="21"/>
      <c r="D64" s="22"/>
      <c r="E64" s="22"/>
      <c r="F64" s="64"/>
      <c r="G64" s="65"/>
      <c r="H64" s="64"/>
      <c r="I64" s="65"/>
      <c r="J64" s="64"/>
      <c r="K64" s="65"/>
      <c r="L64" s="64"/>
      <c r="M64" s="65"/>
      <c r="N64" s="22"/>
      <c r="O64" s="22"/>
      <c r="P64" s="21"/>
      <c r="Q64" s="26"/>
      <c r="R64" s="19"/>
      <c r="S64" s="25"/>
      <c r="T64" s="21"/>
      <c r="U64" s="22"/>
      <c r="V64" s="22"/>
      <c r="W64" s="64"/>
      <c r="X64" s="65"/>
      <c r="Y64" s="64"/>
      <c r="Z64" s="65"/>
      <c r="AA64" s="64"/>
      <c r="AB64" s="65"/>
      <c r="AC64" s="64"/>
      <c r="AD64" s="65"/>
      <c r="AE64" s="22"/>
      <c r="AF64" s="22"/>
      <c r="AG64" s="21"/>
      <c r="AH64" s="43"/>
      <c r="AI64" s="33"/>
      <c r="AJ64" s="25"/>
      <c r="AK64" s="21"/>
      <c r="AL64" s="22"/>
      <c r="AM64" s="22"/>
      <c r="AN64" s="64"/>
      <c r="AO64" s="65"/>
      <c r="AP64" s="64"/>
      <c r="AQ64" s="65"/>
      <c r="AR64" s="64"/>
      <c r="AS64" s="65"/>
      <c r="AT64" s="64"/>
      <c r="AU64" s="65"/>
      <c r="AV64" s="22"/>
      <c r="AW64" s="22"/>
      <c r="AX64" s="21"/>
      <c r="AY64" s="43"/>
      <c r="AZ64" s="33"/>
      <c r="BA64" s="25"/>
      <c r="BB64" s="21"/>
      <c r="BC64" s="22"/>
      <c r="BD64" s="22"/>
      <c r="BE64" s="64"/>
      <c r="BF64" s="65"/>
      <c r="BG64" s="64"/>
      <c r="BH64" s="65"/>
      <c r="BI64" s="64"/>
      <c r="BJ64" s="65"/>
      <c r="BK64" s="64"/>
      <c r="BL64" s="65"/>
      <c r="BM64" s="22"/>
      <c r="BN64" s="22"/>
      <c r="BO64" s="21"/>
      <c r="BP64" s="43"/>
      <c r="BQ64" s="33"/>
      <c r="BR64" s="25"/>
      <c r="BS64" s="21"/>
      <c r="BT64" s="22"/>
      <c r="BU64" s="22"/>
      <c r="BV64" s="64"/>
      <c r="BW64" s="65"/>
      <c r="BX64" s="64"/>
      <c r="BY64" s="65"/>
      <c r="BZ64" s="64"/>
      <c r="CA64" s="65"/>
      <c r="CB64" s="64"/>
      <c r="CC64" s="65"/>
      <c r="CD64" s="22"/>
      <c r="CE64" s="22"/>
      <c r="CF64" s="21"/>
      <c r="CG64" s="43"/>
      <c r="CH64" s="33"/>
      <c r="CI64" s="25"/>
      <c r="CJ64" s="21"/>
      <c r="CK64" s="22"/>
      <c r="CL64" s="22"/>
      <c r="CM64" s="64"/>
      <c r="CN64" s="65"/>
      <c r="CO64" s="64"/>
      <c r="CP64" s="65"/>
      <c r="CQ64" s="64"/>
      <c r="CR64" s="65"/>
      <c r="CS64" s="64"/>
      <c r="CT64" s="65"/>
      <c r="CU64" s="22"/>
      <c r="CV64" s="22"/>
      <c r="CW64" s="21"/>
      <c r="CX64" s="43"/>
      <c r="CY64" s="33"/>
      <c r="CZ64" s="25"/>
      <c r="DA64" s="21"/>
      <c r="DB64" s="22"/>
      <c r="DC64" s="22"/>
      <c r="DD64" s="64"/>
      <c r="DE64" s="65"/>
      <c r="DF64" s="64"/>
      <c r="DG64" s="65"/>
      <c r="DH64" s="64"/>
      <c r="DI64" s="65"/>
      <c r="DJ64" s="64"/>
      <c r="DK64" s="65"/>
      <c r="DL64" s="22"/>
      <c r="DM64" s="22"/>
      <c r="DN64" s="21"/>
      <c r="DO64" s="43"/>
      <c r="DP64" s="33"/>
      <c r="DQ64" s="25"/>
      <c r="DR64" s="21"/>
      <c r="DS64" s="22"/>
      <c r="DT64" s="22"/>
      <c r="DU64" s="64"/>
      <c r="DV64" s="65"/>
      <c r="DW64" s="64"/>
      <c r="DX64" s="65"/>
      <c r="DY64" s="64"/>
      <c r="DZ64" s="65"/>
      <c r="EA64" s="64"/>
      <c r="EB64" s="65"/>
      <c r="EC64" s="22"/>
      <c r="ED64" s="22"/>
      <c r="EE64" s="21"/>
      <c r="EF64" s="43"/>
    </row>
    <row r="65" spans="2:136" s="18" customFormat="1" ht="18" customHeight="1" x14ac:dyDescent="0.5">
      <c r="B65" s="25"/>
      <c r="C65" s="22"/>
      <c r="D65" s="22"/>
      <c r="E65" s="62"/>
      <c r="F65" s="63"/>
      <c r="G65" s="62"/>
      <c r="H65" s="63"/>
      <c r="I65" s="62"/>
      <c r="J65" s="63"/>
      <c r="K65" s="62"/>
      <c r="L65" s="63"/>
      <c r="M65" s="62"/>
      <c r="N65" s="63"/>
      <c r="O65" s="22"/>
      <c r="P65" s="22"/>
      <c r="Q65" s="26"/>
      <c r="R65" s="19"/>
      <c r="S65" s="25"/>
      <c r="T65" s="22"/>
      <c r="U65" s="22"/>
      <c r="V65" s="62"/>
      <c r="W65" s="63"/>
      <c r="X65" s="62"/>
      <c r="Y65" s="63"/>
      <c r="Z65" s="62"/>
      <c r="AA65" s="63"/>
      <c r="AB65" s="62"/>
      <c r="AC65" s="63"/>
      <c r="AD65" s="62"/>
      <c r="AE65" s="63"/>
      <c r="AF65" s="22"/>
      <c r="AG65" s="22"/>
      <c r="AH65" s="43"/>
      <c r="AI65" s="33"/>
      <c r="AJ65" s="25"/>
      <c r="AK65" s="22"/>
      <c r="AL65" s="22"/>
      <c r="AM65" s="62"/>
      <c r="AN65" s="63"/>
      <c r="AO65" s="62"/>
      <c r="AP65" s="63"/>
      <c r="AQ65" s="62"/>
      <c r="AR65" s="63"/>
      <c r="AS65" s="62"/>
      <c r="AT65" s="63"/>
      <c r="AU65" s="62"/>
      <c r="AV65" s="63"/>
      <c r="AW65" s="22"/>
      <c r="AX65" s="22"/>
      <c r="AY65" s="43"/>
      <c r="AZ65" s="33"/>
      <c r="BA65" s="25"/>
      <c r="BB65" s="22"/>
      <c r="BC65" s="22"/>
      <c r="BD65" s="62"/>
      <c r="BE65" s="63"/>
      <c r="BF65" s="62"/>
      <c r="BG65" s="63"/>
      <c r="BH65" s="62"/>
      <c r="BI65" s="63"/>
      <c r="BJ65" s="62"/>
      <c r="BK65" s="63"/>
      <c r="BL65" s="62"/>
      <c r="BM65" s="63"/>
      <c r="BN65" s="22"/>
      <c r="BO65" s="22"/>
      <c r="BP65" s="43"/>
      <c r="BQ65" s="33"/>
      <c r="BR65" s="25"/>
      <c r="BS65" s="22"/>
      <c r="BT65" s="22"/>
      <c r="BU65" s="62"/>
      <c r="BV65" s="63"/>
      <c r="BW65" s="62"/>
      <c r="BX65" s="63"/>
      <c r="BY65" s="62"/>
      <c r="BZ65" s="63"/>
      <c r="CA65" s="62"/>
      <c r="CB65" s="63"/>
      <c r="CC65" s="62"/>
      <c r="CD65" s="63"/>
      <c r="CE65" s="22"/>
      <c r="CF65" s="22"/>
      <c r="CG65" s="43"/>
      <c r="CH65" s="33"/>
      <c r="CI65" s="25"/>
      <c r="CJ65" s="22"/>
      <c r="CK65" s="22"/>
      <c r="CL65" s="62"/>
      <c r="CM65" s="63"/>
      <c r="CN65" s="62"/>
      <c r="CO65" s="63"/>
      <c r="CP65" s="62"/>
      <c r="CQ65" s="63"/>
      <c r="CR65" s="62"/>
      <c r="CS65" s="63"/>
      <c r="CT65" s="62"/>
      <c r="CU65" s="63"/>
      <c r="CV65" s="22"/>
      <c r="CW65" s="22"/>
      <c r="CX65" s="43"/>
      <c r="CY65" s="33"/>
      <c r="CZ65" s="25"/>
      <c r="DA65" s="22"/>
      <c r="DB65" s="22"/>
      <c r="DC65" s="62"/>
      <c r="DD65" s="63"/>
      <c r="DE65" s="62"/>
      <c r="DF65" s="63"/>
      <c r="DG65" s="62"/>
      <c r="DH65" s="63"/>
      <c r="DI65" s="62"/>
      <c r="DJ65" s="63"/>
      <c r="DK65" s="62"/>
      <c r="DL65" s="63"/>
      <c r="DM65" s="22"/>
      <c r="DN65" s="22"/>
      <c r="DO65" s="43"/>
      <c r="DP65" s="33"/>
      <c r="DQ65" s="25"/>
      <c r="DR65" s="22"/>
      <c r="DS65" s="22"/>
      <c r="DT65" s="62"/>
      <c r="DU65" s="63"/>
      <c r="DV65" s="62"/>
      <c r="DW65" s="63"/>
      <c r="DX65" s="62"/>
      <c r="DY65" s="63"/>
      <c r="DZ65" s="62"/>
      <c r="EA65" s="63"/>
      <c r="EB65" s="62"/>
      <c r="EC65" s="63"/>
      <c r="ED65" s="22"/>
      <c r="EE65" s="22"/>
      <c r="EF65" s="43"/>
    </row>
    <row r="66" spans="2:136" s="18" customFormat="1" ht="18" customHeight="1" x14ac:dyDescent="0.5">
      <c r="B66" s="25"/>
      <c r="C66" s="22"/>
      <c r="D66" s="22"/>
      <c r="E66" s="64"/>
      <c r="F66" s="65"/>
      <c r="G66" s="64"/>
      <c r="H66" s="65"/>
      <c r="I66" s="64"/>
      <c r="J66" s="65"/>
      <c r="K66" s="64"/>
      <c r="L66" s="65"/>
      <c r="M66" s="64"/>
      <c r="N66" s="65"/>
      <c r="O66" s="22"/>
      <c r="P66" s="22"/>
      <c r="Q66" s="26"/>
      <c r="R66" s="19"/>
      <c r="S66" s="25"/>
      <c r="T66" s="22"/>
      <c r="U66" s="22"/>
      <c r="V66" s="64"/>
      <c r="W66" s="65"/>
      <c r="X66" s="64"/>
      <c r="Y66" s="65"/>
      <c r="Z66" s="64"/>
      <c r="AA66" s="65"/>
      <c r="AB66" s="64"/>
      <c r="AC66" s="65"/>
      <c r="AD66" s="64"/>
      <c r="AE66" s="65"/>
      <c r="AF66" s="22"/>
      <c r="AG66" s="22"/>
      <c r="AH66" s="43"/>
      <c r="AI66" s="33"/>
      <c r="AJ66" s="25"/>
      <c r="AK66" s="22"/>
      <c r="AL66" s="22"/>
      <c r="AM66" s="64"/>
      <c r="AN66" s="65"/>
      <c r="AO66" s="64"/>
      <c r="AP66" s="65"/>
      <c r="AQ66" s="64"/>
      <c r="AR66" s="65"/>
      <c r="AS66" s="64"/>
      <c r="AT66" s="65"/>
      <c r="AU66" s="64"/>
      <c r="AV66" s="65"/>
      <c r="AW66" s="22"/>
      <c r="AX66" s="22"/>
      <c r="AY66" s="43"/>
      <c r="AZ66" s="33"/>
      <c r="BA66" s="25"/>
      <c r="BB66" s="22"/>
      <c r="BC66" s="22"/>
      <c r="BD66" s="64"/>
      <c r="BE66" s="65"/>
      <c r="BF66" s="64"/>
      <c r="BG66" s="65"/>
      <c r="BH66" s="64"/>
      <c r="BI66" s="65"/>
      <c r="BJ66" s="64"/>
      <c r="BK66" s="65"/>
      <c r="BL66" s="64"/>
      <c r="BM66" s="65"/>
      <c r="BN66" s="22"/>
      <c r="BO66" s="22"/>
      <c r="BP66" s="43"/>
      <c r="BQ66" s="33"/>
      <c r="BR66" s="25"/>
      <c r="BS66" s="22"/>
      <c r="BT66" s="22"/>
      <c r="BU66" s="64"/>
      <c r="BV66" s="65"/>
      <c r="BW66" s="64"/>
      <c r="BX66" s="65"/>
      <c r="BY66" s="64"/>
      <c r="BZ66" s="65"/>
      <c r="CA66" s="64"/>
      <c r="CB66" s="65"/>
      <c r="CC66" s="64"/>
      <c r="CD66" s="65"/>
      <c r="CE66" s="22"/>
      <c r="CF66" s="22"/>
      <c r="CG66" s="43"/>
      <c r="CH66" s="33"/>
      <c r="CI66" s="25"/>
      <c r="CJ66" s="22"/>
      <c r="CK66" s="22"/>
      <c r="CL66" s="64"/>
      <c r="CM66" s="65"/>
      <c r="CN66" s="64"/>
      <c r="CO66" s="65"/>
      <c r="CP66" s="64"/>
      <c r="CQ66" s="65"/>
      <c r="CR66" s="64"/>
      <c r="CS66" s="65"/>
      <c r="CT66" s="64"/>
      <c r="CU66" s="65"/>
      <c r="CV66" s="22"/>
      <c r="CW66" s="22"/>
      <c r="CX66" s="43"/>
      <c r="CY66" s="33"/>
      <c r="CZ66" s="25"/>
      <c r="DA66" s="22"/>
      <c r="DB66" s="22"/>
      <c r="DC66" s="64"/>
      <c r="DD66" s="65"/>
      <c r="DE66" s="64"/>
      <c r="DF66" s="65"/>
      <c r="DG66" s="64"/>
      <c r="DH66" s="65"/>
      <c r="DI66" s="64"/>
      <c r="DJ66" s="65"/>
      <c r="DK66" s="64"/>
      <c r="DL66" s="65"/>
      <c r="DM66" s="22"/>
      <c r="DN66" s="22"/>
      <c r="DO66" s="43"/>
      <c r="DP66" s="33"/>
      <c r="DQ66" s="25"/>
      <c r="DR66" s="22"/>
      <c r="DS66" s="22"/>
      <c r="DT66" s="64"/>
      <c r="DU66" s="65"/>
      <c r="DV66" s="64"/>
      <c r="DW66" s="65"/>
      <c r="DX66" s="64"/>
      <c r="DY66" s="65"/>
      <c r="DZ66" s="64"/>
      <c r="EA66" s="65"/>
      <c r="EB66" s="64"/>
      <c r="EC66" s="65"/>
      <c r="ED66" s="22"/>
      <c r="EE66" s="22"/>
      <c r="EF66" s="43"/>
    </row>
    <row r="67" spans="2:136" s="18" customFormat="1" ht="18" customHeight="1" x14ac:dyDescent="0.5">
      <c r="B67" s="25"/>
      <c r="C67" s="22"/>
      <c r="D67" s="62"/>
      <c r="E67" s="63"/>
      <c r="F67" s="62"/>
      <c r="G67" s="63"/>
      <c r="H67" s="69">
        <v>3</v>
      </c>
      <c r="I67" s="63"/>
      <c r="J67" s="69">
        <v>3</v>
      </c>
      <c r="K67" s="63"/>
      <c r="L67" s="62"/>
      <c r="M67" s="63"/>
      <c r="N67" s="62"/>
      <c r="O67" s="63"/>
      <c r="P67" s="22"/>
      <c r="Q67" s="26"/>
      <c r="R67" s="19"/>
      <c r="S67" s="25"/>
      <c r="T67" s="22"/>
      <c r="U67" s="62"/>
      <c r="V67" s="63"/>
      <c r="W67" s="62"/>
      <c r="X67" s="63"/>
      <c r="Y67" s="71">
        <v>6</v>
      </c>
      <c r="Z67" s="63"/>
      <c r="AA67" s="71">
        <v>6</v>
      </c>
      <c r="AB67" s="63"/>
      <c r="AC67" s="62"/>
      <c r="AD67" s="63"/>
      <c r="AE67" s="62"/>
      <c r="AF67" s="63"/>
      <c r="AG67" s="22"/>
      <c r="AH67" s="43"/>
      <c r="AI67" s="33"/>
      <c r="AJ67" s="25"/>
      <c r="AK67" s="22"/>
      <c r="AL67" s="62"/>
      <c r="AM67" s="63"/>
      <c r="AN67" s="62"/>
      <c r="AO67" s="63"/>
      <c r="AP67" s="62"/>
      <c r="AQ67" s="63"/>
      <c r="AR67" s="71">
        <v>6</v>
      </c>
      <c r="AS67" s="63"/>
      <c r="AT67" s="62"/>
      <c r="AU67" s="63"/>
      <c r="AV67" s="62"/>
      <c r="AW67" s="63"/>
      <c r="AX67" s="22"/>
      <c r="AY67" s="43"/>
      <c r="AZ67" s="33"/>
      <c r="BA67" s="25"/>
      <c r="BB67" s="22"/>
      <c r="BC67" s="62"/>
      <c r="BD67" s="63"/>
      <c r="BE67" s="62"/>
      <c r="BF67" s="63"/>
      <c r="BG67" s="71">
        <v>6</v>
      </c>
      <c r="BH67" s="63"/>
      <c r="BI67" s="62"/>
      <c r="BJ67" s="63"/>
      <c r="BK67" s="62"/>
      <c r="BL67" s="63"/>
      <c r="BM67" s="62"/>
      <c r="BN67" s="63"/>
      <c r="BO67" s="22"/>
      <c r="BP67" s="43"/>
      <c r="BQ67" s="33"/>
      <c r="BR67" s="25"/>
      <c r="BS67" s="22"/>
      <c r="BT67" s="62"/>
      <c r="BU67" s="63"/>
      <c r="BV67" s="62"/>
      <c r="BW67" s="63"/>
      <c r="BX67" s="71">
        <v>6</v>
      </c>
      <c r="BY67" s="63"/>
      <c r="BZ67" s="62"/>
      <c r="CA67" s="63"/>
      <c r="CB67" s="62"/>
      <c r="CC67" s="63"/>
      <c r="CD67" s="62"/>
      <c r="CE67" s="63"/>
      <c r="CF67" s="22"/>
      <c r="CG67" s="43"/>
      <c r="CH67" s="33"/>
      <c r="CI67" s="25"/>
      <c r="CJ67" s="22"/>
      <c r="CK67" s="62"/>
      <c r="CL67" s="63"/>
      <c r="CM67" s="62"/>
      <c r="CN67" s="63"/>
      <c r="CO67" s="62"/>
      <c r="CP67" s="63"/>
      <c r="CQ67" s="71">
        <v>6</v>
      </c>
      <c r="CR67" s="63"/>
      <c r="CS67" s="62"/>
      <c r="CT67" s="63"/>
      <c r="CU67" s="62"/>
      <c r="CV67" s="63"/>
      <c r="CW67" s="22"/>
      <c r="CX67" s="43"/>
      <c r="CY67" s="33"/>
      <c r="CZ67" s="25"/>
      <c r="DA67" s="22"/>
      <c r="DB67" s="62"/>
      <c r="DC67" s="63"/>
      <c r="DD67" s="62"/>
      <c r="DE67" s="63"/>
      <c r="DF67" s="62"/>
      <c r="DG67" s="63"/>
      <c r="DH67" s="69">
        <v>3</v>
      </c>
      <c r="DI67" s="63"/>
      <c r="DJ67" s="62"/>
      <c r="DK67" s="63"/>
      <c r="DL67" s="62"/>
      <c r="DM67" s="63"/>
      <c r="DN67" s="22"/>
      <c r="DO67" s="43"/>
      <c r="DP67" s="33"/>
      <c r="DQ67" s="25"/>
      <c r="DR67" s="22"/>
      <c r="DS67" s="62"/>
      <c r="DT67" s="63"/>
      <c r="DU67" s="62"/>
      <c r="DV67" s="63"/>
      <c r="DW67" s="62"/>
      <c r="DX67" s="63"/>
      <c r="DY67" s="62"/>
      <c r="DZ67" s="63"/>
      <c r="EA67" s="62"/>
      <c r="EB67" s="63"/>
      <c r="EC67" s="62"/>
      <c r="ED67" s="63"/>
      <c r="EE67" s="22"/>
      <c r="EF67" s="43"/>
    </row>
    <row r="68" spans="2:136" s="18" customFormat="1" ht="18" customHeight="1" x14ac:dyDescent="0.5">
      <c r="B68" s="25"/>
      <c r="C68" s="22"/>
      <c r="D68" s="64"/>
      <c r="E68" s="65"/>
      <c r="F68" s="64"/>
      <c r="G68" s="65"/>
      <c r="H68" s="64"/>
      <c r="I68" s="65"/>
      <c r="J68" s="64"/>
      <c r="K68" s="65"/>
      <c r="L68" s="64"/>
      <c r="M68" s="65"/>
      <c r="N68" s="64"/>
      <c r="O68" s="65"/>
      <c r="P68" s="22"/>
      <c r="Q68" s="26"/>
      <c r="R68" s="19"/>
      <c r="S68" s="25"/>
      <c r="T68" s="22"/>
      <c r="U68" s="64"/>
      <c r="V68" s="65"/>
      <c r="W68" s="64"/>
      <c r="X68" s="65"/>
      <c r="Y68" s="64"/>
      <c r="Z68" s="65"/>
      <c r="AA68" s="64"/>
      <c r="AB68" s="65"/>
      <c r="AC68" s="64"/>
      <c r="AD68" s="65"/>
      <c r="AE68" s="64"/>
      <c r="AF68" s="65"/>
      <c r="AG68" s="22"/>
      <c r="AH68" s="43"/>
      <c r="AI68" s="33"/>
      <c r="AJ68" s="25"/>
      <c r="AK68" s="22"/>
      <c r="AL68" s="64"/>
      <c r="AM68" s="65"/>
      <c r="AN68" s="64"/>
      <c r="AO68" s="65"/>
      <c r="AP68" s="64"/>
      <c r="AQ68" s="65"/>
      <c r="AR68" s="64"/>
      <c r="AS68" s="65"/>
      <c r="AT68" s="64"/>
      <c r="AU68" s="65"/>
      <c r="AV68" s="64"/>
      <c r="AW68" s="65"/>
      <c r="AX68" s="22"/>
      <c r="AY68" s="43"/>
      <c r="AZ68" s="33"/>
      <c r="BA68" s="25"/>
      <c r="BB68" s="22"/>
      <c r="BC68" s="64"/>
      <c r="BD68" s="65"/>
      <c r="BE68" s="64"/>
      <c r="BF68" s="65"/>
      <c r="BG68" s="64"/>
      <c r="BH68" s="65"/>
      <c r="BI68" s="64"/>
      <c r="BJ68" s="65"/>
      <c r="BK68" s="64"/>
      <c r="BL68" s="65"/>
      <c r="BM68" s="64"/>
      <c r="BN68" s="65"/>
      <c r="BO68" s="22"/>
      <c r="BP68" s="43"/>
      <c r="BQ68" s="33"/>
      <c r="BR68" s="25"/>
      <c r="BS68" s="22"/>
      <c r="BT68" s="64"/>
      <c r="BU68" s="65"/>
      <c r="BV68" s="64"/>
      <c r="BW68" s="65"/>
      <c r="BX68" s="64"/>
      <c r="BY68" s="65"/>
      <c r="BZ68" s="64"/>
      <c r="CA68" s="65"/>
      <c r="CB68" s="64"/>
      <c r="CC68" s="65"/>
      <c r="CD68" s="64"/>
      <c r="CE68" s="65"/>
      <c r="CF68" s="22"/>
      <c r="CG68" s="43"/>
      <c r="CH68" s="33"/>
      <c r="CI68" s="25"/>
      <c r="CJ68" s="22"/>
      <c r="CK68" s="64"/>
      <c r="CL68" s="65"/>
      <c r="CM68" s="64"/>
      <c r="CN68" s="65"/>
      <c r="CO68" s="64"/>
      <c r="CP68" s="65"/>
      <c r="CQ68" s="64"/>
      <c r="CR68" s="65"/>
      <c r="CS68" s="64"/>
      <c r="CT68" s="65"/>
      <c r="CU68" s="64"/>
      <c r="CV68" s="65"/>
      <c r="CW68" s="22"/>
      <c r="CX68" s="43"/>
      <c r="CY68" s="33"/>
      <c r="CZ68" s="25"/>
      <c r="DA68" s="22"/>
      <c r="DB68" s="64"/>
      <c r="DC68" s="65"/>
      <c r="DD68" s="64"/>
      <c r="DE68" s="65"/>
      <c r="DF68" s="64"/>
      <c r="DG68" s="65"/>
      <c r="DH68" s="64"/>
      <c r="DI68" s="65"/>
      <c r="DJ68" s="64"/>
      <c r="DK68" s="65"/>
      <c r="DL68" s="64"/>
      <c r="DM68" s="65"/>
      <c r="DN68" s="22"/>
      <c r="DO68" s="43"/>
      <c r="DP68" s="33"/>
      <c r="DQ68" s="25"/>
      <c r="DR68" s="22"/>
      <c r="DS68" s="64"/>
      <c r="DT68" s="65"/>
      <c r="DU68" s="64"/>
      <c r="DV68" s="65"/>
      <c r="DW68" s="64"/>
      <c r="DX68" s="65"/>
      <c r="DY68" s="64"/>
      <c r="DZ68" s="65"/>
      <c r="EA68" s="64"/>
      <c r="EB68" s="65"/>
      <c r="EC68" s="64"/>
      <c r="ED68" s="65"/>
      <c r="EE68" s="22"/>
      <c r="EF68" s="43"/>
    </row>
    <row r="69" spans="2:136" s="18" customFormat="1" ht="18" customHeight="1" x14ac:dyDescent="0.5">
      <c r="B69" s="25"/>
      <c r="C69" s="62"/>
      <c r="D69" s="63"/>
      <c r="E69" s="62"/>
      <c r="F69" s="63"/>
      <c r="G69" s="69">
        <v>3</v>
      </c>
      <c r="H69" s="63"/>
      <c r="I69" s="62"/>
      <c r="J69" s="63"/>
      <c r="K69" s="69">
        <v>3</v>
      </c>
      <c r="L69" s="63"/>
      <c r="M69" s="62"/>
      <c r="N69" s="63"/>
      <c r="O69" s="62"/>
      <c r="P69" s="63"/>
      <c r="Q69" s="26"/>
      <c r="R69" s="19"/>
      <c r="S69" s="25"/>
      <c r="T69" s="62"/>
      <c r="U69" s="63"/>
      <c r="V69" s="62"/>
      <c r="W69" s="63"/>
      <c r="X69" s="62"/>
      <c r="Y69" s="63"/>
      <c r="Z69" s="71">
        <v>6</v>
      </c>
      <c r="AA69" s="63"/>
      <c r="AB69" s="62"/>
      <c r="AC69" s="63"/>
      <c r="AD69" s="62"/>
      <c r="AE69" s="63"/>
      <c r="AF69" s="62"/>
      <c r="AG69" s="63"/>
      <c r="AH69" s="43"/>
      <c r="AI69" s="33"/>
      <c r="AJ69" s="25"/>
      <c r="AK69" s="62"/>
      <c r="AL69" s="63"/>
      <c r="AM69" s="62"/>
      <c r="AN69" s="63"/>
      <c r="AO69" s="71">
        <v>6</v>
      </c>
      <c r="AP69" s="63"/>
      <c r="AQ69" s="71">
        <v>6</v>
      </c>
      <c r="AR69" s="63"/>
      <c r="AS69" s="71">
        <v>6</v>
      </c>
      <c r="AT69" s="63"/>
      <c r="AU69" s="62"/>
      <c r="AV69" s="63"/>
      <c r="AW69" s="62"/>
      <c r="AX69" s="63"/>
      <c r="AY69" s="43"/>
      <c r="AZ69" s="33"/>
      <c r="BA69" s="25"/>
      <c r="BB69" s="62"/>
      <c r="BC69" s="63"/>
      <c r="BD69" s="62"/>
      <c r="BE69" s="63"/>
      <c r="BF69" s="71">
        <v>6</v>
      </c>
      <c r="BG69" s="63"/>
      <c r="BH69" s="71">
        <v>6</v>
      </c>
      <c r="BI69" s="63"/>
      <c r="BJ69" s="71">
        <v>6</v>
      </c>
      <c r="BK69" s="63"/>
      <c r="BL69" s="62"/>
      <c r="BM69" s="63"/>
      <c r="BN69" s="62"/>
      <c r="BO69" s="63"/>
      <c r="BP69" s="43"/>
      <c r="BQ69" s="33"/>
      <c r="BR69" s="25"/>
      <c r="BS69" s="62"/>
      <c r="BT69" s="63"/>
      <c r="BU69" s="62"/>
      <c r="BV69" s="63"/>
      <c r="BW69" s="71">
        <v>6</v>
      </c>
      <c r="BX69" s="63"/>
      <c r="BY69" s="71">
        <v>6</v>
      </c>
      <c r="BZ69" s="63"/>
      <c r="CA69" s="71">
        <v>6</v>
      </c>
      <c r="CB69" s="63"/>
      <c r="CC69" s="62"/>
      <c r="CD69" s="63"/>
      <c r="CE69" s="62"/>
      <c r="CF69" s="63"/>
      <c r="CG69" s="43"/>
      <c r="CH69" s="33"/>
      <c r="CI69" s="25"/>
      <c r="CJ69" s="62"/>
      <c r="CK69" s="63"/>
      <c r="CL69" s="62"/>
      <c r="CM69" s="63"/>
      <c r="CN69" s="71">
        <v>6</v>
      </c>
      <c r="CO69" s="63"/>
      <c r="CP69" s="71">
        <v>6</v>
      </c>
      <c r="CQ69" s="63"/>
      <c r="CR69" s="71">
        <v>6</v>
      </c>
      <c r="CS69" s="63"/>
      <c r="CT69" s="62"/>
      <c r="CU69" s="63"/>
      <c r="CV69" s="62"/>
      <c r="CW69" s="63"/>
      <c r="CX69" s="43"/>
      <c r="CY69" s="33"/>
      <c r="CZ69" s="25"/>
      <c r="DA69" s="62"/>
      <c r="DB69" s="63"/>
      <c r="DC69" s="62"/>
      <c r="DD69" s="63"/>
      <c r="DE69" s="62"/>
      <c r="DF69" s="63"/>
      <c r="DG69" s="69">
        <v>3</v>
      </c>
      <c r="DH69" s="63"/>
      <c r="DI69" s="69">
        <v>3</v>
      </c>
      <c r="DJ69" s="63"/>
      <c r="DK69" s="62"/>
      <c r="DL69" s="63"/>
      <c r="DM69" s="62"/>
      <c r="DN69" s="63"/>
      <c r="DO69" s="43"/>
      <c r="DP69" s="33"/>
      <c r="DQ69" s="25"/>
      <c r="DR69" s="62"/>
      <c r="DS69" s="63"/>
      <c r="DT69" s="62"/>
      <c r="DU69" s="63"/>
      <c r="DV69" s="69">
        <v>3</v>
      </c>
      <c r="DW69" s="63"/>
      <c r="DX69" s="69">
        <v>3</v>
      </c>
      <c r="DY69" s="63"/>
      <c r="DZ69" s="69">
        <v>3</v>
      </c>
      <c r="EA69" s="63"/>
      <c r="EB69" s="62"/>
      <c r="EC69" s="63"/>
      <c r="ED69" s="62"/>
      <c r="EE69" s="63"/>
      <c r="EF69" s="43"/>
    </row>
    <row r="70" spans="2:136" s="18" customFormat="1" ht="18" customHeight="1" x14ac:dyDescent="0.5">
      <c r="B70" s="25"/>
      <c r="C70" s="64"/>
      <c r="D70" s="65"/>
      <c r="E70" s="64"/>
      <c r="F70" s="65"/>
      <c r="G70" s="64"/>
      <c r="H70" s="65"/>
      <c r="I70" s="64"/>
      <c r="J70" s="65"/>
      <c r="K70" s="64"/>
      <c r="L70" s="65"/>
      <c r="M70" s="64"/>
      <c r="N70" s="65"/>
      <c r="O70" s="64"/>
      <c r="P70" s="65"/>
      <c r="Q70" s="26"/>
      <c r="R70" s="19"/>
      <c r="S70" s="25"/>
      <c r="T70" s="64"/>
      <c r="U70" s="65"/>
      <c r="V70" s="64"/>
      <c r="W70" s="65"/>
      <c r="X70" s="64"/>
      <c r="Y70" s="65"/>
      <c r="Z70" s="64"/>
      <c r="AA70" s="65"/>
      <c r="AB70" s="64"/>
      <c r="AC70" s="65"/>
      <c r="AD70" s="64"/>
      <c r="AE70" s="65"/>
      <c r="AF70" s="64"/>
      <c r="AG70" s="65"/>
      <c r="AH70" s="43"/>
      <c r="AI70" s="33"/>
      <c r="AJ70" s="25"/>
      <c r="AK70" s="64"/>
      <c r="AL70" s="65"/>
      <c r="AM70" s="64"/>
      <c r="AN70" s="65"/>
      <c r="AO70" s="64"/>
      <c r="AP70" s="65"/>
      <c r="AQ70" s="64"/>
      <c r="AR70" s="65"/>
      <c r="AS70" s="64"/>
      <c r="AT70" s="65"/>
      <c r="AU70" s="64"/>
      <c r="AV70" s="65"/>
      <c r="AW70" s="64"/>
      <c r="AX70" s="65"/>
      <c r="AY70" s="43"/>
      <c r="AZ70" s="33"/>
      <c r="BA70" s="25"/>
      <c r="BB70" s="64"/>
      <c r="BC70" s="65"/>
      <c r="BD70" s="64"/>
      <c r="BE70" s="65"/>
      <c r="BF70" s="64"/>
      <c r="BG70" s="65"/>
      <c r="BH70" s="64"/>
      <c r="BI70" s="65"/>
      <c r="BJ70" s="64"/>
      <c r="BK70" s="65"/>
      <c r="BL70" s="64"/>
      <c r="BM70" s="65"/>
      <c r="BN70" s="64"/>
      <c r="BO70" s="65"/>
      <c r="BP70" s="43"/>
      <c r="BQ70" s="33"/>
      <c r="BR70" s="25"/>
      <c r="BS70" s="64"/>
      <c r="BT70" s="65"/>
      <c r="BU70" s="64"/>
      <c r="BV70" s="65"/>
      <c r="BW70" s="64"/>
      <c r="BX70" s="65"/>
      <c r="BY70" s="64"/>
      <c r="BZ70" s="65"/>
      <c r="CA70" s="64"/>
      <c r="CB70" s="65"/>
      <c r="CC70" s="64"/>
      <c r="CD70" s="65"/>
      <c r="CE70" s="64"/>
      <c r="CF70" s="65"/>
      <c r="CG70" s="43"/>
      <c r="CH70" s="33"/>
      <c r="CI70" s="25"/>
      <c r="CJ70" s="64"/>
      <c r="CK70" s="65"/>
      <c r="CL70" s="64"/>
      <c r="CM70" s="65"/>
      <c r="CN70" s="64"/>
      <c r="CO70" s="65"/>
      <c r="CP70" s="64"/>
      <c r="CQ70" s="65"/>
      <c r="CR70" s="64"/>
      <c r="CS70" s="65"/>
      <c r="CT70" s="64"/>
      <c r="CU70" s="65"/>
      <c r="CV70" s="64"/>
      <c r="CW70" s="65"/>
      <c r="CX70" s="43"/>
      <c r="CY70" s="33"/>
      <c r="CZ70" s="25"/>
      <c r="DA70" s="64"/>
      <c r="DB70" s="65"/>
      <c r="DC70" s="64"/>
      <c r="DD70" s="65"/>
      <c r="DE70" s="64"/>
      <c r="DF70" s="65"/>
      <c r="DG70" s="64"/>
      <c r="DH70" s="65"/>
      <c r="DI70" s="64"/>
      <c r="DJ70" s="65"/>
      <c r="DK70" s="64"/>
      <c r="DL70" s="65"/>
      <c r="DM70" s="64"/>
      <c r="DN70" s="65"/>
      <c r="DO70" s="43"/>
      <c r="DP70" s="33"/>
      <c r="DQ70" s="25"/>
      <c r="DR70" s="64"/>
      <c r="DS70" s="65"/>
      <c r="DT70" s="64"/>
      <c r="DU70" s="65"/>
      <c r="DV70" s="64"/>
      <c r="DW70" s="65"/>
      <c r="DX70" s="64"/>
      <c r="DY70" s="65"/>
      <c r="DZ70" s="64"/>
      <c r="EA70" s="65"/>
      <c r="EB70" s="64"/>
      <c r="EC70" s="65"/>
      <c r="ED70" s="64"/>
      <c r="EE70" s="65"/>
      <c r="EF70" s="43"/>
    </row>
    <row r="71" spans="2:136" s="18" customFormat="1" ht="18" customHeight="1" x14ac:dyDescent="0.5">
      <c r="B71" s="25"/>
      <c r="C71" s="22"/>
      <c r="D71" s="62"/>
      <c r="E71" s="63"/>
      <c r="F71" s="62"/>
      <c r="G71" s="63"/>
      <c r="H71" s="62"/>
      <c r="I71" s="63"/>
      <c r="J71" s="62"/>
      <c r="K71" s="63"/>
      <c r="L71" s="62"/>
      <c r="M71" s="63"/>
      <c r="N71" s="62"/>
      <c r="O71" s="63"/>
      <c r="P71" s="22"/>
      <c r="Q71" s="26"/>
      <c r="R71" s="19"/>
      <c r="S71" s="25"/>
      <c r="T71" s="22"/>
      <c r="U71" s="62"/>
      <c r="V71" s="63"/>
      <c r="W71" s="62"/>
      <c r="X71" s="63"/>
      <c r="Y71" s="71">
        <v>6</v>
      </c>
      <c r="Z71" s="63"/>
      <c r="AA71" s="71">
        <v>6</v>
      </c>
      <c r="AB71" s="63"/>
      <c r="AC71" s="62"/>
      <c r="AD71" s="63"/>
      <c r="AE71" s="62"/>
      <c r="AF71" s="63"/>
      <c r="AG71" s="22"/>
      <c r="AH71" s="43"/>
      <c r="AI71" s="33"/>
      <c r="AJ71" s="25"/>
      <c r="AK71" s="22"/>
      <c r="AL71" s="62"/>
      <c r="AM71" s="63"/>
      <c r="AN71" s="62"/>
      <c r="AO71" s="63"/>
      <c r="AP71" s="62"/>
      <c r="AQ71" s="63"/>
      <c r="AR71" s="71">
        <v>6</v>
      </c>
      <c r="AS71" s="63"/>
      <c r="AT71" s="62"/>
      <c r="AU71" s="63"/>
      <c r="AV71" s="62"/>
      <c r="AW71" s="63"/>
      <c r="AX71" s="22"/>
      <c r="AY71" s="43"/>
      <c r="AZ71" s="33"/>
      <c r="BA71" s="25"/>
      <c r="BB71" s="22"/>
      <c r="BC71" s="62"/>
      <c r="BD71" s="63"/>
      <c r="BE71" s="62"/>
      <c r="BF71" s="63"/>
      <c r="BG71" s="71">
        <v>6</v>
      </c>
      <c r="BH71" s="63"/>
      <c r="BI71" s="62"/>
      <c r="BJ71" s="63"/>
      <c r="BK71" s="62"/>
      <c r="BL71" s="63"/>
      <c r="BM71" s="62"/>
      <c r="BN71" s="63"/>
      <c r="BO71" s="22"/>
      <c r="BP71" s="43"/>
      <c r="BQ71" s="33"/>
      <c r="BR71" s="25"/>
      <c r="BS71" s="22"/>
      <c r="BT71" s="62"/>
      <c r="BU71" s="63"/>
      <c r="BV71" s="62"/>
      <c r="BW71" s="63"/>
      <c r="BX71" s="62"/>
      <c r="BY71" s="63"/>
      <c r="BZ71" s="71">
        <v>6</v>
      </c>
      <c r="CA71" s="63"/>
      <c r="CB71" s="62"/>
      <c r="CC71" s="63"/>
      <c r="CD71" s="62"/>
      <c r="CE71" s="63"/>
      <c r="CF71" s="22"/>
      <c r="CG71" s="43"/>
      <c r="CH71" s="33"/>
      <c r="CI71" s="25"/>
      <c r="CJ71" s="22"/>
      <c r="CK71" s="62"/>
      <c r="CL71" s="63"/>
      <c r="CM71" s="62"/>
      <c r="CN71" s="63"/>
      <c r="CO71" s="71">
        <v>6</v>
      </c>
      <c r="CP71" s="63"/>
      <c r="CQ71" s="62"/>
      <c r="CR71" s="63"/>
      <c r="CS71" s="62"/>
      <c r="CT71" s="63"/>
      <c r="CU71" s="62"/>
      <c r="CV71" s="63"/>
      <c r="CW71" s="22"/>
      <c r="CX71" s="43"/>
      <c r="CY71" s="33"/>
      <c r="CZ71" s="25"/>
      <c r="DA71" s="22"/>
      <c r="DB71" s="62"/>
      <c r="DC71" s="63"/>
      <c r="DD71" s="62"/>
      <c r="DE71" s="63"/>
      <c r="DF71" s="69">
        <v>3</v>
      </c>
      <c r="DG71" s="63"/>
      <c r="DH71" s="69">
        <v>3</v>
      </c>
      <c r="DI71" s="63"/>
      <c r="DJ71" s="62"/>
      <c r="DK71" s="63"/>
      <c r="DL71" s="62"/>
      <c r="DM71" s="63"/>
      <c r="DN71" s="22"/>
      <c r="DO71" s="43"/>
      <c r="DP71" s="33"/>
      <c r="DQ71" s="25"/>
      <c r="DR71" s="22"/>
      <c r="DS71" s="62"/>
      <c r="DT71" s="63"/>
      <c r="DU71" s="62"/>
      <c r="DV71" s="63"/>
      <c r="DW71" s="69">
        <v>3</v>
      </c>
      <c r="DX71" s="63"/>
      <c r="DY71" s="69">
        <v>3</v>
      </c>
      <c r="DZ71" s="63"/>
      <c r="EA71" s="62"/>
      <c r="EB71" s="63"/>
      <c r="EC71" s="62"/>
      <c r="ED71" s="63"/>
      <c r="EE71" s="22"/>
      <c r="EF71" s="43"/>
    </row>
    <row r="72" spans="2:136" s="18" customFormat="1" ht="18" customHeight="1" x14ac:dyDescent="0.5">
      <c r="B72" s="25"/>
      <c r="C72" s="22"/>
      <c r="D72" s="64"/>
      <c r="E72" s="65"/>
      <c r="F72" s="64"/>
      <c r="G72" s="65"/>
      <c r="H72" s="64"/>
      <c r="I72" s="65"/>
      <c r="J72" s="64"/>
      <c r="K72" s="65"/>
      <c r="L72" s="64"/>
      <c r="M72" s="65"/>
      <c r="N72" s="64"/>
      <c r="O72" s="65"/>
      <c r="P72" s="22"/>
      <c r="Q72" s="26"/>
      <c r="R72" s="19"/>
      <c r="S72" s="25"/>
      <c r="T72" s="22"/>
      <c r="U72" s="64"/>
      <c r="V72" s="65"/>
      <c r="W72" s="64"/>
      <c r="X72" s="65"/>
      <c r="Y72" s="64"/>
      <c r="Z72" s="65"/>
      <c r="AA72" s="64"/>
      <c r="AB72" s="65"/>
      <c r="AC72" s="64"/>
      <c r="AD72" s="65"/>
      <c r="AE72" s="64"/>
      <c r="AF72" s="65"/>
      <c r="AG72" s="22"/>
      <c r="AH72" s="43"/>
      <c r="AI72" s="33"/>
      <c r="AJ72" s="25"/>
      <c r="AK72" s="22"/>
      <c r="AL72" s="64"/>
      <c r="AM72" s="65"/>
      <c r="AN72" s="64"/>
      <c r="AO72" s="65"/>
      <c r="AP72" s="64"/>
      <c r="AQ72" s="65"/>
      <c r="AR72" s="64"/>
      <c r="AS72" s="65"/>
      <c r="AT72" s="64"/>
      <c r="AU72" s="65"/>
      <c r="AV72" s="64"/>
      <c r="AW72" s="65"/>
      <c r="AX72" s="22"/>
      <c r="AY72" s="43"/>
      <c r="AZ72" s="33"/>
      <c r="BA72" s="25"/>
      <c r="BB72" s="22"/>
      <c r="BC72" s="64"/>
      <c r="BD72" s="65"/>
      <c r="BE72" s="64"/>
      <c r="BF72" s="65"/>
      <c r="BG72" s="64"/>
      <c r="BH72" s="65"/>
      <c r="BI72" s="64"/>
      <c r="BJ72" s="65"/>
      <c r="BK72" s="64"/>
      <c r="BL72" s="65"/>
      <c r="BM72" s="64"/>
      <c r="BN72" s="65"/>
      <c r="BO72" s="22"/>
      <c r="BP72" s="43"/>
      <c r="BQ72" s="33"/>
      <c r="BR72" s="25"/>
      <c r="BS72" s="22"/>
      <c r="BT72" s="64"/>
      <c r="BU72" s="65"/>
      <c r="BV72" s="64"/>
      <c r="BW72" s="65"/>
      <c r="BX72" s="64"/>
      <c r="BY72" s="65"/>
      <c r="BZ72" s="64"/>
      <c r="CA72" s="65"/>
      <c r="CB72" s="64"/>
      <c r="CC72" s="65"/>
      <c r="CD72" s="64"/>
      <c r="CE72" s="65"/>
      <c r="CF72" s="22"/>
      <c r="CG72" s="43"/>
      <c r="CH72" s="33"/>
      <c r="CI72" s="25"/>
      <c r="CJ72" s="22"/>
      <c r="CK72" s="64"/>
      <c r="CL72" s="65"/>
      <c r="CM72" s="64"/>
      <c r="CN72" s="65"/>
      <c r="CO72" s="64"/>
      <c r="CP72" s="65"/>
      <c r="CQ72" s="64"/>
      <c r="CR72" s="65"/>
      <c r="CS72" s="64"/>
      <c r="CT72" s="65"/>
      <c r="CU72" s="64"/>
      <c r="CV72" s="65"/>
      <c r="CW72" s="22"/>
      <c r="CX72" s="43"/>
      <c r="CY72" s="33"/>
      <c r="CZ72" s="25"/>
      <c r="DA72" s="22"/>
      <c r="DB72" s="64"/>
      <c r="DC72" s="65"/>
      <c r="DD72" s="64"/>
      <c r="DE72" s="65"/>
      <c r="DF72" s="64"/>
      <c r="DG72" s="65"/>
      <c r="DH72" s="64"/>
      <c r="DI72" s="65"/>
      <c r="DJ72" s="64"/>
      <c r="DK72" s="65"/>
      <c r="DL72" s="64"/>
      <c r="DM72" s="65"/>
      <c r="DN72" s="22"/>
      <c r="DO72" s="43"/>
      <c r="DP72" s="33"/>
      <c r="DQ72" s="25"/>
      <c r="DR72" s="22"/>
      <c r="DS72" s="64"/>
      <c r="DT72" s="65"/>
      <c r="DU72" s="64"/>
      <c r="DV72" s="65"/>
      <c r="DW72" s="64"/>
      <c r="DX72" s="65"/>
      <c r="DY72" s="64"/>
      <c r="DZ72" s="65"/>
      <c r="EA72" s="64"/>
      <c r="EB72" s="65"/>
      <c r="EC72" s="64"/>
      <c r="ED72" s="65"/>
      <c r="EE72" s="22"/>
      <c r="EF72" s="43"/>
    </row>
    <row r="73" spans="2:136" s="18" customFormat="1" ht="18" customHeight="1" x14ac:dyDescent="0.5">
      <c r="B73" s="25"/>
      <c r="C73" s="22"/>
      <c r="D73" s="22"/>
      <c r="E73" s="62"/>
      <c r="F73" s="63"/>
      <c r="G73" s="62"/>
      <c r="H73" s="63"/>
      <c r="I73" s="62"/>
      <c r="J73" s="63"/>
      <c r="K73" s="62"/>
      <c r="L73" s="63"/>
      <c r="M73" s="62"/>
      <c r="N73" s="63"/>
      <c r="O73" s="22"/>
      <c r="P73" s="22"/>
      <c r="Q73" s="26"/>
      <c r="R73" s="19"/>
      <c r="S73" s="25"/>
      <c r="T73" s="22"/>
      <c r="U73" s="22"/>
      <c r="V73" s="62"/>
      <c r="W73" s="63"/>
      <c r="X73" s="62"/>
      <c r="Y73" s="63"/>
      <c r="Z73" s="62"/>
      <c r="AA73" s="63"/>
      <c r="AB73" s="62"/>
      <c r="AC73" s="63"/>
      <c r="AD73" s="62"/>
      <c r="AE73" s="63"/>
      <c r="AF73" s="22"/>
      <c r="AG73" s="22"/>
      <c r="AH73" s="43"/>
      <c r="AI73" s="33"/>
      <c r="AJ73" s="25"/>
      <c r="AK73" s="22"/>
      <c r="AL73" s="22"/>
      <c r="AM73" s="62"/>
      <c r="AN73" s="63"/>
      <c r="AO73" s="62"/>
      <c r="AP73" s="63"/>
      <c r="AQ73" s="62"/>
      <c r="AR73" s="63"/>
      <c r="AS73" s="62"/>
      <c r="AT73" s="63"/>
      <c r="AU73" s="62"/>
      <c r="AV73" s="63"/>
      <c r="AW73" s="22"/>
      <c r="AX73" s="22"/>
      <c r="AY73" s="43"/>
      <c r="AZ73" s="33"/>
      <c r="BA73" s="25"/>
      <c r="BB73" s="22"/>
      <c r="BC73" s="22"/>
      <c r="BD73" s="62"/>
      <c r="BE73" s="63"/>
      <c r="BF73" s="62"/>
      <c r="BG73" s="63"/>
      <c r="BH73" s="62"/>
      <c r="BI73" s="63"/>
      <c r="BJ73" s="62"/>
      <c r="BK73" s="63"/>
      <c r="BL73" s="62"/>
      <c r="BM73" s="63"/>
      <c r="BN73" s="22"/>
      <c r="BO73" s="22"/>
      <c r="BP73" s="43"/>
      <c r="BQ73" s="33"/>
      <c r="BR73" s="25"/>
      <c r="BS73" s="22"/>
      <c r="BT73" s="22"/>
      <c r="BU73" s="62"/>
      <c r="BV73" s="63"/>
      <c r="BW73" s="62"/>
      <c r="BX73" s="63"/>
      <c r="BY73" s="62"/>
      <c r="BZ73" s="63"/>
      <c r="CA73" s="62"/>
      <c r="CB73" s="63"/>
      <c r="CC73" s="62"/>
      <c r="CD73" s="63"/>
      <c r="CE73" s="22"/>
      <c r="CF73" s="22"/>
      <c r="CG73" s="43"/>
      <c r="CH73" s="33"/>
      <c r="CI73" s="25"/>
      <c r="CJ73" s="22"/>
      <c r="CK73" s="22"/>
      <c r="CL73" s="62"/>
      <c r="CM73" s="63"/>
      <c r="CN73" s="62"/>
      <c r="CO73" s="63"/>
      <c r="CP73" s="62"/>
      <c r="CQ73" s="63"/>
      <c r="CR73" s="62"/>
      <c r="CS73" s="63"/>
      <c r="CT73" s="62"/>
      <c r="CU73" s="63"/>
      <c r="CV73" s="22"/>
      <c r="CW73" s="22"/>
      <c r="CX73" s="43"/>
      <c r="CY73" s="33"/>
      <c r="CZ73" s="25"/>
      <c r="DA73" s="22"/>
      <c r="DB73" s="22"/>
      <c r="DC73" s="62"/>
      <c r="DD73" s="63"/>
      <c r="DE73" s="62"/>
      <c r="DF73" s="63"/>
      <c r="DG73" s="62"/>
      <c r="DH73" s="63"/>
      <c r="DI73" s="62"/>
      <c r="DJ73" s="63"/>
      <c r="DK73" s="62"/>
      <c r="DL73" s="63"/>
      <c r="DM73" s="22"/>
      <c r="DN73" s="22"/>
      <c r="DO73" s="43"/>
      <c r="DP73" s="33"/>
      <c r="DQ73" s="25"/>
      <c r="DR73" s="22"/>
      <c r="DS73" s="22"/>
      <c r="DT73" s="62"/>
      <c r="DU73" s="63"/>
      <c r="DV73" s="62"/>
      <c r="DW73" s="63"/>
      <c r="DX73" s="62"/>
      <c r="DY73" s="63"/>
      <c r="DZ73" s="62"/>
      <c r="EA73" s="63"/>
      <c r="EB73" s="62"/>
      <c r="EC73" s="63"/>
      <c r="ED73" s="22"/>
      <c r="EE73" s="22"/>
      <c r="EF73" s="43"/>
    </row>
    <row r="74" spans="2:136" s="18" customFormat="1" ht="18" customHeight="1" x14ac:dyDescent="0.5">
      <c r="B74" s="25"/>
      <c r="C74" s="22"/>
      <c r="D74" s="22"/>
      <c r="E74" s="64"/>
      <c r="F74" s="65"/>
      <c r="G74" s="64"/>
      <c r="H74" s="65"/>
      <c r="I74" s="64"/>
      <c r="J74" s="65"/>
      <c r="K74" s="64"/>
      <c r="L74" s="65"/>
      <c r="M74" s="64"/>
      <c r="N74" s="65"/>
      <c r="O74" s="22"/>
      <c r="P74" s="22"/>
      <c r="Q74" s="26"/>
      <c r="R74" s="19"/>
      <c r="S74" s="25"/>
      <c r="T74" s="22"/>
      <c r="U74" s="22"/>
      <c r="V74" s="64"/>
      <c r="W74" s="65"/>
      <c r="X74" s="64"/>
      <c r="Y74" s="65"/>
      <c r="Z74" s="64"/>
      <c r="AA74" s="65"/>
      <c r="AB74" s="64"/>
      <c r="AC74" s="65"/>
      <c r="AD74" s="64"/>
      <c r="AE74" s="65"/>
      <c r="AF74" s="22"/>
      <c r="AG74" s="22"/>
      <c r="AH74" s="43"/>
      <c r="AI74" s="33"/>
      <c r="AJ74" s="25"/>
      <c r="AK74" s="22"/>
      <c r="AL74" s="22"/>
      <c r="AM74" s="64"/>
      <c r="AN74" s="65"/>
      <c r="AO74" s="64"/>
      <c r="AP74" s="65"/>
      <c r="AQ74" s="64"/>
      <c r="AR74" s="65"/>
      <c r="AS74" s="64"/>
      <c r="AT74" s="65"/>
      <c r="AU74" s="64"/>
      <c r="AV74" s="65"/>
      <c r="AW74" s="22"/>
      <c r="AX74" s="22"/>
      <c r="AY74" s="43"/>
      <c r="AZ74" s="33"/>
      <c r="BA74" s="25"/>
      <c r="BB74" s="22"/>
      <c r="BC74" s="22"/>
      <c r="BD74" s="64"/>
      <c r="BE74" s="65"/>
      <c r="BF74" s="64"/>
      <c r="BG74" s="65"/>
      <c r="BH74" s="64"/>
      <c r="BI74" s="65"/>
      <c r="BJ74" s="64"/>
      <c r="BK74" s="65"/>
      <c r="BL74" s="64"/>
      <c r="BM74" s="65"/>
      <c r="BN74" s="22"/>
      <c r="BO74" s="22"/>
      <c r="BP74" s="43"/>
      <c r="BQ74" s="33"/>
      <c r="BR74" s="25"/>
      <c r="BS74" s="22"/>
      <c r="BT74" s="22"/>
      <c r="BU74" s="64"/>
      <c r="BV74" s="65"/>
      <c r="BW74" s="64"/>
      <c r="BX74" s="65"/>
      <c r="BY74" s="64"/>
      <c r="BZ74" s="65"/>
      <c r="CA74" s="64"/>
      <c r="CB74" s="65"/>
      <c r="CC74" s="64"/>
      <c r="CD74" s="65"/>
      <c r="CE74" s="22"/>
      <c r="CF74" s="22"/>
      <c r="CG74" s="43"/>
      <c r="CH74" s="33"/>
      <c r="CI74" s="25"/>
      <c r="CJ74" s="22"/>
      <c r="CK74" s="22"/>
      <c r="CL74" s="64"/>
      <c r="CM74" s="65"/>
      <c r="CN74" s="64"/>
      <c r="CO74" s="65"/>
      <c r="CP74" s="64"/>
      <c r="CQ74" s="65"/>
      <c r="CR74" s="64"/>
      <c r="CS74" s="65"/>
      <c r="CT74" s="64"/>
      <c r="CU74" s="65"/>
      <c r="CV74" s="22"/>
      <c r="CW74" s="22"/>
      <c r="CX74" s="43"/>
      <c r="CY74" s="33"/>
      <c r="CZ74" s="25"/>
      <c r="DA74" s="22"/>
      <c r="DB74" s="22"/>
      <c r="DC74" s="64"/>
      <c r="DD74" s="65"/>
      <c r="DE74" s="64"/>
      <c r="DF74" s="65"/>
      <c r="DG74" s="64"/>
      <c r="DH74" s="65"/>
      <c r="DI74" s="64"/>
      <c r="DJ74" s="65"/>
      <c r="DK74" s="64"/>
      <c r="DL74" s="65"/>
      <c r="DM74" s="22"/>
      <c r="DN74" s="22"/>
      <c r="DO74" s="43"/>
      <c r="DP74" s="33"/>
      <c r="DQ74" s="25"/>
      <c r="DR74" s="22"/>
      <c r="DS74" s="22"/>
      <c r="DT74" s="64"/>
      <c r="DU74" s="65"/>
      <c r="DV74" s="64"/>
      <c r="DW74" s="65"/>
      <c r="DX74" s="64"/>
      <c r="DY74" s="65"/>
      <c r="DZ74" s="64"/>
      <c r="EA74" s="65"/>
      <c r="EB74" s="64"/>
      <c r="EC74" s="65"/>
      <c r="ED74" s="22"/>
      <c r="EE74" s="22"/>
      <c r="EF74" s="43"/>
    </row>
    <row r="75" spans="2:136" s="18" customFormat="1" ht="18" customHeight="1" x14ac:dyDescent="0.5">
      <c r="B75" s="25"/>
      <c r="C75" s="21"/>
      <c r="D75" s="22"/>
      <c r="E75" s="22"/>
      <c r="F75" s="62"/>
      <c r="G75" s="63"/>
      <c r="H75" s="62"/>
      <c r="I75" s="63"/>
      <c r="J75" s="62"/>
      <c r="K75" s="63"/>
      <c r="L75" s="62"/>
      <c r="M75" s="63"/>
      <c r="N75" s="22"/>
      <c r="O75" s="22"/>
      <c r="P75" s="21"/>
      <c r="Q75" s="26"/>
      <c r="R75" s="19"/>
      <c r="S75" s="25"/>
      <c r="T75" s="21"/>
      <c r="U75" s="22"/>
      <c r="V75" s="22"/>
      <c r="W75" s="62"/>
      <c r="X75" s="63"/>
      <c r="Y75" s="62"/>
      <c r="Z75" s="63"/>
      <c r="AA75" s="62"/>
      <c r="AB75" s="63"/>
      <c r="AC75" s="62"/>
      <c r="AD75" s="63"/>
      <c r="AE75" s="22"/>
      <c r="AF75" s="22"/>
      <c r="AG75" s="21"/>
      <c r="AH75" s="43"/>
      <c r="AI75" s="33"/>
      <c r="AJ75" s="25"/>
      <c r="AK75" s="21"/>
      <c r="AL75" s="22"/>
      <c r="AM75" s="22"/>
      <c r="AN75" s="62"/>
      <c r="AO75" s="63"/>
      <c r="AP75" s="62"/>
      <c r="AQ75" s="63"/>
      <c r="AR75" s="62"/>
      <c r="AS75" s="63"/>
      <c r="AT75" s="62"/>
      <c r="AU75" s="63"/>
      <c r="AV75" s="22"/>
      <c r="AW75" s="22"/>
      <c r="AX75" s="21"/>
      <c r="AY75" s="43"/>
      <c r="AZ75" s="33"/>
      <c r="BA75" s="25"/>
      <c r="BB75" s="21"/>
      <c r="BC75" s="22"/>
      <c r="BD75" s="22"/>
      <c r="BE75" s="62"/>
      <c r="BF75" s="63"/>
      <c r="BG75" s="62"/>
      <c r="BH75" s="63"/>
      <c r="BI75" s="62"/>
      <c r="BJ75" s="63"/>
      <c r="BK75" s="62"/>
      <c r="BL75" s="63"/>
      <c r="BM75" s="22"/>
      <c r="BN75" s="22"/>
      <c r="BO75" s="21"/>
      <c r="BP75" s="43"/>
      <c r="BQ75" s="33"/>
      <c r="BR75" s="25"/>
      <c r="BS75" s="21"/>
      <c r="BT75" s="22"/>
      <c r="BU75" s="22"/>
      <c r="BV75" s="62"/>
      <c r="BW75" s="63"/>
      <c r="BX75" s="62"/>
      <c r="BY75" s="63"/>
      <c r="BZ75" s="62"/>
      <c r="CA75" s="63"/>
      <c r="CB75" s="62"/>
      <c r="CC75" s="63"/>
      <c r="CD75" s="22"/>
      <c r="CE75" s="22"/>
      <c r="CF75" s="21"/>
      <c r="CG75" s="43"/>
      <c r="CH75" s="33"/>
      <c r="CI75" s="25"/>
      <c r="CJ75" s="21"/>
      <c r="CK75" s="22"/>
      <c r="CL75" s="22"/>
      <c r="CM75" s="62"/>
      <c r="CN75" s="63"/>
      <c r="CO75" s="62"/>
      <c r="CP75" s="63"/>
      <c r="CQ75" s="62"/>
      <c r="CR75" s="63"/>
      <c r="CS75" s="62"/>
      <c r="CT75" s="63"/>
      <c r="CU75" s="22"/>
      <c r="CV75" s="22"/>
      <c r="CW75" s="21"/>
      <c r="CX75" s="43"/>
      <c r="CY75" s="33"/>
      <c r="CZ75" s="25"/>
      <c r="DA75" s="21"/>
      <c r="DB75" s="22"/>
      <c r="DC75" s="22"/>
      <c r="DD75" s="62"/>
      <c r="DE75" s="63"/>
      <c r="DF75" s="62"/>
      <c r="DG75" s="63"/>
      <c r="DH75" s="62"/>
      <c r="DI75" s="63"/>
      <c r="DJ75" s="62"/>
      <c r="DK75" s="63"/>
      <c r="DL75" s="22"/>
      <c r="DM75" s="22"/>
      <c r="DN75" s="21"/>
      <c r="DO75" s="43"/>
      <c r="DP75" s="33"/>
      <c r="DQ75" s="25"/>
      <c r="DR75" s="21"/>
      <c r="DS75" s="22"/>
      <c r="DT75" s="22"/>
      <c r="DU75" s="62"/>
      <c r="DV75" s="63"/>
      <c r="DW75" s="62"/>
      <c r="DX75" s="63"/>
      <c r="DY75" s="62"/>
      <c r="DZ75" s="63"/>
      <c r="EA75" s="62"/>
      <c r="EB75" s="63"/>
      <c r="EC75" s="22"/>
      <c r="ED75" s="22"/>
      <c r="EE75" s="21"/>
      <c r="EF75" s="43"/>
    </row>
    <row r="76" spans="2:136" s="18" customFormat="1" ht="18" customHeight="1" x14ac:dyDescent="0.5">
      <c r="B76" s="25"/>
      <c r="C76" s="21"/>
      <c r="D76" s="22"/>
      <c r="E76" s="22"/>
      <c r="F76" s="64"/>
      <c r="G76" s="65"/>
      <c r="H76" s="64"/>
      <c r="I76" s="65"/>
      <c r="J76" s="64"/>
      <c r="K76" s="65"/>
      <c r="L76" s="64"/>
      <c r="M76" s="65"/>
      <c r="N76" s="22"/>
      <c r="O76" s="22"/>
      <c r="P76" s="21"/>
      <c r="Q76" s="26"/>
      <c r="R76" s="19"/>
      <c r="S76" s="25"/>
      <c r="T76" s="21"/>
      <c r="U76" s="22"/>
      <c r="V76" s="22"/>
      <c r="W76" s="64"/>
      <c r="X76" s="65"/>
      <c r="Y76" s="64"/>
      <c r="Z76" s="65"/>
      <c r="AA76" s="64"/>
      <c r="AB76" s="65"/>
      <c r="AC76" s="64"/>
      <c r="AD76" s="65"/>
      <c r="AE76" s="22"/>
      <c r="AF76" s="22"/>
      <c r="AG76" s="21"/>
      <c r="AH76" s="43"/>
      <c r="AI76" s="33"/>
      <c r="AJ76" s="25"/>
      <c r="AK76" s="21"/>
      <c r="AL76" s="22"/>
      <c r="AM76" s="22"/>
      <c r="AN76" s="64"/>
      <c r="AO76" s="65"/>
      <c r="AP76" s="64"/>
      <c r="AQ76" s="65"/>
      <c r="AR76" s="64"/>
      <c r="AS76" s="65"/>
      <c r="AT76" s="64"/>
      <c r="AU76" s="65"/>
      <c r="AV76" s="22"/>
      <c r="AW76" s="22"/>
      <c r="AX76" s="21"/>
      <c r="AY76" s="43"/>
      <c r="AZ76" s="33"/>
      <c r="BA76" s="25"/>
      <c r="BB76" s="21"/>
      <c r="BC76" s="22"/>
      <c r="BD76" s="22"/>
      <c r="BE76" s="64"/>
      <c r="BF76" s="65"/>
      <c r="BG76" s="64"/>
      <c r="BH76" s="65"/>
      <c r="BI76" s="64"/>
      <c r="BJ76" s="65"/>
      <c r="BK76" s="64"/>
      <c r="BL76" s="65"/>
      <c r="BM76" s="22"/>
      <c r="BN76" s="22"/>
      <c r="BO76" s="21"/>
      <c r="BP76" s="43"/>
      <c r="BQ76" s="33"/>
      <c r="BR76" s="25"/>
      <c r="BS76" s="21"/>
      <c r="BT76" s="22"/>
      <c r="BU76" s="22"/>
      <c r="BV76" s="64"/>
      <c r="BW76" s="65"/>
      <c r="BX76" s="64"/>
      <c r="BY76" s="65"/>
      <c r="BZ76" s="64"/>
      <c r="CA76" s="65"/>
      <c r="CB76" s="64"/>
      <c r="CC76" s="65"/>
      <c r="CD76" s="22"/>
      <c r="CE76" s="22"/>
      <c r="CF76" s="21"/>
      <c r="CG76" s="43"/>
      <c r="CH76" s="33"/>
      <c r="CI76" s="25"/>
      <c r="CJ76" s="21"/>
      <c r="CK76" s="22"/>
      <c r="CL76" s="22"/>
      <c r="CM76" s="64"/>
      <c r="CN76" s="65"/>
      <c r="CO76" s="64"/>
      <c r="CP76" s="65"/>
      <c r="CQ76" s="64"/>
      <c r="CR76" s="65"/>
      <c r="CS76" s="64"/>
      <c r="CT76" s="65"/>
      <c r="CU76" s="22"/>
      <c r="CV76" s="22"/>
      <c r="CW76" s="21"/>
      <c r="CX76" s="43"/>
      <c r="CY76" s="33"/>
      <c r="CZ76" s="25"/>
      <c r="DA76" s="21"/>
      <c r="DB76" s="22"/>
      <c r="DC76" s="22"/>
      <c r="DD76" s="64"/>
      <c r="DE76" s="65"/>
      <c r="DF76" s="64"/>
      <c r="DG76" s="65"/>
      <c r="DH76" s="64"/>
      <c r="DI76" s="65"/>
      <c r="DJ76" s="64"/>
      <c r="DK76" s="65"/>
      <c r="DL76" s="22"/>
      <c r="DM76" s="22"/>
      <c r="DN76" s="21"/>
      <c r="DO76" s="43"/>
      <c r="DP76" s="33"/>
      <c r="DQ76" s="25"/>
      <c r="DR76" s="21"/>
      <c r="DS76" s="22"/>
      <c r="DT76" s="22"/>
      <c r="DU76" s="64"/>
      <c r="DV76" s="65"/>
      <c r="DW76" s="64"/>
      <c r="DX76" s="65"/>
      <c r="DY76" s="64"/>
      <c r="DZ76" s="65"/>
      <c r="EA76" s="64"/>
      <c r="EB76" s="65"/>
      <c r="EC76" s="22"/>
      <c r="ED76" s="22"/>
      <c r="EE76" s="21"/>
      <c r="EF76" s="43"/>
    </row>
    <row r="77" spans="2:136" s="18" customFormat="1" ht="18" customHeight="1" x14ac:dyDescent="0.5"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27"/>
      <c r="S77" s="3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4"/>
      <c r="AI77" s="33"/>
      <c r="AJ77" s="3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4"/>
      <c r="AZ77" s="33"/>
      <c r="BA77" s="3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4"/>
      <c r="BQ77" s="33"/>
      <c r="BR77" s="3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4"/>
      <c r="CH77" s="33"/>
      <c r="CI77" s="3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4"/>
      <c r="CY77" s="33"/>
      <c r="CZ77" s="3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4"/>
      <c r="DP77" s="33"/>
      <c r="DQ77" s="3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4"/>
    </row>
    <row r="78" spans="2:136" s="18" customFormat="1" ht="18" customHeight="1" x14ac:dyDescent="0.5">
      <c r="B78" s="28"/>
      <c r="C78" s="90" t="str">
        <f ca="1">GetHexStr(C63:P76)</f>
        <v>(-1,-2,3,);(1,-2,3,);(-2,0,3,);(2,0,3,);</v>
      </c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2"/>
      <c r="Q78" s="27"/>
      <c r="S78" s="45"/>
      <c r="T78" s="96" t="str">
        <f ca="1">GetHexStr(T63:AG76)</f>
        <v>(-1,-2,6,);(1,-2,6,);(0,0,6,);(-1,2,6,);(1,2,6,);</v>
      </c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8"/>
      <c r="AH78" s="44"/>
      <c r="AI78" s="33"/>
      <c r="AJ78" s="45"/>
      <c r="AK78" s="96" t="str">
        <f ca="1">GetHexStr(AK63:AX76)</f>
        <v>(1,-2,6,);(-2,0,6,);(0,0,6,);(2,0,6,);(1,2,6,);</v>
      </c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8"/>
      <c r="AY78" s="44"/>
      <c r="AZ78" s="33"/>
      <c r="BA78" s="45"/>
      <c r="BB78" s="96" t="str">
        <f ca="1">GetHexStr(BB63:BO76)</f>
        <v>(-1,-2,6,);(-2,0,6,);(0,0,6,);(2,0,6,);(-1,2,6,);</v>
      </c>
      <c r="BC78" s="97"/>
      <c r="BD78" s="97"/>
      <c r="BE78" s="97"/>
      <c r="BF78" s="97"/>
      <c r="BG78" s="97"/>
      <c r="BH78" s="97"/>
      <c r="BI78" s="97"/>
      <c r="BJ78" s="97"/>
      <c r="BK78" s="97"/>
      <c r="BL78" s="97"/>
      <c r="BM78" s="97"/>
      <c r="BN78" s="97"/>
      <c r="BO78" s="98"/>
      <c r="BP78" s="44"/>
      <c r="BQ78" s="33"/>
      <c r="BR78" s="45"/>
      <c r="BS78" s="96" t="str">
        <f ca="1">GetHexStr(BS63:CF76)</f>
        <v>(-1,-2,6,);(-2,0,6,);(0,0,6,);(2,0,6,);(1,2,6,);</v>
      </c>
      <c r="BT78" s="97"/>
      <c r="BU78" s="97"/>
      <c r="BV78" s="97"/>
      <c r="BW78" s="97"/>
      <c r="BX78" s="97"/>
      <c r="BY78" s="97"/>
      <c r="BZ78" s="97"/>
      <c r="CA78" s="97"/>
      <c r="CB78" s="97"/>
      <c r="CC78" s="97"/>
      <c r="CD78" s="97"/>
      <c r="CE78" s="97"/>
      <c r="CF78" s="98"/>
      <c r="CG78" s="44"/>
      <c r="CH78" s="33"/>
      <c r="CI78" s="45"/>
      <c r="CJ78" s="96" t="str">
        <f ca="1">GetHexStr(CJ63:CW76)</f>
        <v>(1,-2,6,);(-2,0,6,);(0,0,6,);(2,0,6,);(-1,2,6,);</v>
      </c>
      <c r="CK78" s="97"/>
      <c r="CL78" s="97"/>
      <c r="CM78" s="97"/>
      <c r="CN78" s="97"/>
      <c r="CO78" s="97"/>
      <c r="CP78" s="97"/>
      <c r="CQ78" s="97"/>
      <c r="CR78" s="97"/>
      <c r="CS78" s="97"/>
      <c r="CT78" s="97"/>
      <c r="CU78" s="97"/>
      <c r="CV78" s="97"/>
      <c r="CW78" s="98"/>
      <c r="CX78" s="44"/>
      <c r="CY78" s="33"/>
      <c r="CZ78" s="45"/>
      <c r="DA78" s="96" t="str">
        <f ca="1">GetHexStr(DA63:DN76)</f>
        <v>(1,-2,3,);(0,0,3,);(2,0,3,);(-1,2,3,);(1,2,3,);</v>
      </c>
      <c r="DB78" s="97"/>
      <c r="DC78" s="97"/>
      <c r="DD78" s="97"/>
      <c r="DE78" s="97"/>
      <c r="DF78" s="97"/>
      <c r="DG78" s="97"/>
      <c r="DH78" s="97"/>
      <c r="DI78" s="97"/>
      <c r="DJ78" s="97"/>
      <c r="DK78" s="97"/>
      <c r="DL78" s="97"/>
      <c r="DM78" s="97"/>
      <c r="DN78" s="98"/>
      <c r="DO78" s="44"/>
      <c r="DP78" s="33"/>
      <c r="DQ78" s="45"/>
      <c r="DR78" s="96" t="str">
        <f ca="1">GetHexStr(DR63:EE76)</f>
        <v>(-2,0,3,);(0,0,3,);(2,0,3,);(-1,2,3,);(1,2,3,);</v>
      </c>
      <c r="DS78" s="97"/>
      <c r="DT78" s="97"/>
      <c r="DU78" s="97"/>
      <c r="DV78" s="97"/>
      <c r="DW78" s="97"/>
      <c r="DX78" s="97"/>
      <c r="DY78" s="97"/>
      <c r="DZ78" s="97"/>
      <c r="EA78" s="97"/>
      <c r="EB78" s="97"/>
      <c r="EC78" s="97"/>
      <c r="ED78" s="97"/>
      <c r="EE78" s="98"/>
      <c r="EF78" s="44"/>
    </row>
    <row r="79" spans="2:136" s="18" customFormat="1" ht="18" customHeight="1" x14ac:dyDescent="0.5">
      <c r="B79" s="28"/>
      <c r="C79" s="93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5"/>
      <c r="Q79" s="27"/>
      <c r="S79" s="45"/>
      <c r="T79" s="99"/>
      <c r="U79" s="100"/>
      <c r="V79" s="100"/>
      <c r="W79" s="100"/>
      <c r="X79" s="100"/>
      <c r="Y79" s="100"/>
      <c r="Z79" s="100"/>
      <c r="AA79" s="100"/>
      <c r="AB79" s="100"/>
      <c r="AC79" s="100"/>
      <c r="AD79" s="100"/>
      <c r="AE79" s="100"/>
      <c r="AF79" s="100"/>
      <c r="AG79" s="101"/>
      <c r="AH79" s="44"/>
      <c r="AI79" s="33"/>
      <c r="AJ79" s="45"/>
      <c r="AK79" s="99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1"/>
      <c r="AY79" s="44"/>
      <c r="AZ79" s="33"/>
      <c r="BA79" s="45"/>
      <c r="BB79" s="99"/>
      <c r="BC79" s="100"/>
      <c r="BD79" s="100"/>
      <c r="BE79" s="100"/>
      <c r="BF79" s="100"/>
      <c r="BG79" s="100"/>
      <c r="BH79" s="100"/>
      <c r="BI79" s="100"/>
      <c r="BJ79" s="100"/>
      <c r="BK79" s="100"/>
      <c r="BL79" s="100"/>
      <c r="BM79" s="100"/>
      <c r="BN79" s="100"/>
      <c r="BO79" s="101"/>
      <c r="BP79" s="44"/>
      <c r="BQ79" s="33"/>
      <c r="BR79" s="45"/>
      <c r="BS79" s="99"/>
      <c r="BT79" s="100"/>
      <c r="BU79" s="100"/>
      <c r="BV79" s="100"/>
      <c r="BW79" s="100"/>
      <c r="BX79" s="100"/>
      <c r="BY79" s="100"/>
      <c r="BZ79" s="100"/>
      <c r="CA79" s="100"/>
      <c r="CB79" s="100"/>
      <c r="CC79" s="100"/>
      <c r="CD79" s="100"/>
      <c r="CE79" s="100"/>
      <c r="CF79" s="101"/>
      <c r="CG79" s="44"/>
      <c r="CH79" s="33"/>
      <c r="CI79" s="45"/>
      <c r="CJ79" s="99"/>
      <c r="CK79" s="100"/>
      <c r="CL79" s="100"/>
      <c r="CM79" s="100"/>
      <c r="CN79" s="100"/>
      <c r="CO79" s="100"/>
      <c r="CP79" s="100"/>
      <c r="CQ79" s="100"/>
      <c r="CR79" s="100"/>
      <c r="CS79" s="100"/>
      <c r="CT79" s="100"/>
      <c r="CU79" s="100"/>
      <c r="CV79" s="100"/>
      <c r="CW79" s="101"/>
      <c r="CX79" s="44"/>
      <c r="CY79" s="33"/>
      <c r="CZ79" s="45"/>
      <c r="DA79" s="99"/>
      <c r="DB79" s="100"/>
      <c r="DC79" s="100"/>
      <c r="DD79" s="100"/>
      <c r="DE79" s="100"/>
      <c r="DF79" s="100"/>
      <c r="DG79" s="100"/>
      <c r="DH79" s="100"/>
      <c r="DI79" s="100"/>
      <c r="DJ79" s="100"/>
      <c r="DK79" s="100"/>
      <c r="DL79" s="100"/>
      <c r="DM79" s="100"/>
      <c r="DN79" s="101"/>
      <c r="DO79" s="44"/>
      <c r="DP79" s="33"/>
      <c r="DQ79" s="45"/>
      <c r="DR79" s="99"/>
      <c r="DS79" s="100"/>
      <c r="DT79" s="100"/>
      <c r="DU79" s="100"/>
      <c r="DV79" s="100"/>
      <c r="DW79" s="100"/>
      <c r="DX79" s="100"/>
      <c r="DY79" s="100"/>
      <c r="DZ79" s="100"/>
      <c r="EA79" s="100"/>
      <c r="EB79" s="100"/>
      <c r="EC79" s="100"/>
      <c r="ED79" s="100"/>
      <c r="EE79" s="101"/>
      <c r="EF79" s="44"/>
    </row>
    <row r="80" spans="2:136" s="18" customFormat="1" ht="18" customHeight="1" thickBot="1" x14ac:dyDescent="0.55000000000000004">
      <c r="B80" s="29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1"/>
      <c r="S80" s="46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8"/>
      <c r="AI80" s="33"/>
      <c r="AJ80" s="46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8"/>
      <c r="AZ80" s="33"/>
      <c r="BA80" s="46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8"/>
      <c r="BQ80" s="33"/>
      <c r="BR80" s="46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8"/>
      <c r="CH80" s="33"/>
      <c r="CI80" s="46"/>
      <c r="CJ80" s="47"/>
      <c r="CK80" s="47"/>
      <c r="CL80" s="47"/>
      <c r="CM80" s="47"/>
      <c r="CN80" s="47"/>
      <c r="CO80" s="47"/>
      <c r="CP80" s="47"/>
      <c r="CQ80" s="47"/>
      <c r="CR80" s="47"/>
      <c r="CS80" s="47"/>
      <c r="CT80" s="47"/>
      <c r="CU80" s="47"/>
      <c r="CV80" s="47"/>
      <c r="CW80" s="47"/>
      <c r="CX80" s="48"/>
      <c r="CY80" s="33"/>
      <c r="CZ80" s="46"/>
      <c r="DA80" s="47"/>
      <c r="DB80" s="47"/>
      <c r="DC80" s="47"/>
      <c r="DD80" s="47"/>
      <c r="DE80" s="47"/>
      <c r="DF80" s="47"/>
      <c r="DG80" s="47"/>
      <c r="DH80" s="47"/>
      <c r="DI80" s="47"/>
      <c r="DJ80" s="47"/>
      <c r="DK80" s="47"/>
      <c r="DL80" s="47"/>
      <c r="DM80" s="47"/>
      <c r="DN80" s="47"/>
      <c r="DO80" s="48"/>
      <c r="DP80" s="33"/>
      <c r="DQ80" s="46"/>
      <c r="DR80" s="47"/>
      <c r="DS80" s="47"/>
      <c r="DT80" s="47"/>
      <c r="DU80" s="47"/>
      <c r="DV80" s="47"/>
      <c r="DW80" s="47"/>
      <c r="DX80" s="47"/>
      <c r="DY80" s="47"/>
      <c r="DZ80" s="47"/>
      <c r="EA80" s="47"/>
      <c r="EB80" s="47"/>
      <c r="EC80" s="47"/>
      <c r="ED80" s="47"/>
      <c r="EE80" s="47"/>
      <c r="EF80" s="48"/>
    </row>
    <row r="81" spans="2:136" ht="18" customHeight="1" thickBot="1" x14ac:dyDescent="0.55000000000000004"/>
    <row r="82" spans="2:136" ht="18" customHeight="1" x14ac:dyDescent="0.5">
      <c r="B82" s="86">
        <v>4</v>
      </c>
      <c r="C82" s="10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42"/>
      <c r="R82" s="21"/>
      <c r="S82" s="86">
        <v>4</v>
      </c>
      <c r="T82" s="10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42"/>
      <c r="AI82" s="53"/>
      <c r="AJ82" s="86">
        <v>4</v>
      </c>
      <c r="AK82" s="10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42"/>
      <c r="AZ82" s="53"/>
      <c r="BA82" s="86">
        <v>4</v>
      </c>
      <c r="BB82" s="10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42"/>
      <c r="BQ82" s="53"/>
      <c r="BR82" s="108">
        <v>5</v>
      </c>
      <c r="BS82" s="10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42"/>
      <c r="CH82" s="53"/>
      <c r="CI82" s="108">
        <v>5</v>
      </c>
      <c r="CJ82" s="10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42"/>
      <c r="CY82" s="53"/>
      <c r="CZ82" s="108">
        <v>5</v>
      </c>
      <c r="DA82" s="103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42"/>
      <c r="DP82" s="53"/>
      <c r="DQ82" s="108">
        <v>5</v>
      </c>
      <c r="DR82" s="103"/>
      <c r="DS82" s="23"/>
      <c r="DT82" s="23"/>
      <c r="DU82" s="23"/>
      <c r="DV82" s="23"/>
      <c r="DW82" s="23"/>
      <c r="DX82" s="23"/>
      <c r="DY82" s="23"/>
      <c r="DZ82" s="23"/>
      <c r="EA82" s="23"/>
      <c r="EB82" s="23"/>
      <c r="EC82" s="23"/>
      <c r="ED82" s="23"/>
      <c r="EE82" s="23"/>
      <c r="EF82" s="42"/>
    </row>
    <row r="83" spans="2:136" ht="18" customHeight="1" thickBot="1" x14ac:dyDescent="0.55000000000000004">
      <c r="B83" s="104"/>
      <c r="C83" s="105"/>
      <c r="D83" s="22"/>
      <c r="E83" s="22"/>
      <c r="F83" s="62"/>
      <c r="G83" s="63"/>
      <c r="H83" s="62"/>
      <c r="I83" s="63"/>
      <c r="J83" s="62"/>
      <c r="K83" s="63"/>
      <c r="L83" s="62"/>
      <c r="M83" s="63"/>
      <c r="N83" s="22"/>
      <c r="O83" s="22"/>
      <c r="P83" s="21"/>
      <c r="Q83" s="43"/>
      <c r="R83" s="21"/>
      <c r="S83" s="104"/>
      <c r="T83" s="105"/>
      <c r="U83" s="22"/>
      <c r="V83" s="22"/>
      <c r="W83" s="62"/>
      <c r="X83" s="63"/>
      <c r="Y83" s="62"/>
      <c r="Z83" s="63"/>
      <c r="AA83" s="62"/>
      <c r="AB83" s="63"/>
      <c r="AC83" s="62"/>
      <c r="AD83" s="63"/>
      <c r="AE83" s="22"/>
      <c r="AF83" s="22"/>
      <c r="AG83" s="21"/>
      <c r="AH83" s="43"/>
      <c r="AI83" s="53"/>
      <c r="AJ83" s="104"/>
      <c r="AK83" s="105"/>
      <c r="AL83" s="22"/>
      <c r="AM83" s="22"/>
      <c r="AN83" s="62"/>
      <c r="AO83" s="63"/>
      <c r="AP83" s="62"/>
      <c r="AQ83" s="63"/>
      <c r="AR83" s="62"/>
      <c r="AS83" s="63"/>
      <c r="AT83" s="62"/>
      <c r="AU83" s="63"/>
      <c r="AV83" s="22"/>
      <c r="AW83" s="22"/>
      <c r="AX83" s="21"/>
      <c r="AY83" s="43"/>
      <c r="AZ83" s="53"/>
      <c r="BA83" s="104"/>
      <c r="BB83" s="105"/>
      <c r="BC83" s="22"/>
      <c r="BD83" s="22"/>
      <c r="BE83" s="62"/>
      <c r="BF83" s="63"/>
      <c r="BG83" s="62"/>
      <c r="BH83" s="63"/>
      <c r="BI83" s="62"/>
      <c r="BJ83" s="63"/>
      <c r="BK83" s="62"/>
      <c r="BL83" s="63"/>
      <c r="BM83" s="22"/>
      <c r="BN83" s="22"/>
      <c r="BO83" s="21"/>
      <c r="BP83" s="43"/>
      <c r="BQ83" s="53"/>
      <c r="BR83" s="104"/>
      <c r="BS83" s="105"/>
      <c r="BT83" s="22"/>
      <c r="BU83" s="22"/>
      <c r="BV83" s="62"/>
      <c r="BW83" s="63"/>
      <c r="BX83" s="62"/>
      <c r="BY83" s="63"/>
      <c r="BZ83" s="62"/>
      <c r="CA83" s="63"/>
      <c r="CB83" s="62"/>
      <c r="CC83" s="63"/>
      <c r="CD83" s="22"/>
      <c r="CE83" s="22"/>
      <c r="CF83" s="21"/>
      <c r="CG83" s="43"/>
      <c r="CH83" s="53"/>
      <c r="CI83" s="104"/>
      <c r="CJ83" s="105"/>
      <c r="CK83" s="22"/>
      <c r="CL83" s="22"/>
      <c r="CM83" s="62"/>
      <c r="CN83" s="63"/>
      <c r="CO83" s="62"/>
      <c r="CP83" s="63"/>
      <c r="CQ83" s="62"/>
      <c r="CR83" s="63"/>
      <c r="CS83" s="62"/>
      <c r="CT83" s="63"/>
      <c r="CU83" s="22"/>
      <c r="CV83" s="22"/>
      <c r="CW83" s="21"/>
      <c r="CX83" s="43"/>
      <c r="CY83" s="53"/>
      <c r="CZ83" s="104"/>
      <c r="DA83" s="105"/>
      <c r="DB83" s="22"/>
      <c r="DC83" s="22"/>
      <c r="DD83" s="62"/>
      <c r="DE83" s="63"/>
      <c r="DF83" s="62"/>
      <c r="DG83" s="63"/>
      <c r="DH83" s="62"/>
      <c r="DI83" s="63"/>
      <c r="DJ83" s="62"/>
      <c r="DK83" s="63"/>
      <c r="DL83" s="22"/>
      <c r="DM83" s="22"/>
      <c r="DN83" s="21"/>
      <c r="DO83" s="43"/>
      <c r="DP83" s="53"/>
      <c r="DQ83" s="104"/>
      <c r="DR83" s="105"/>
      <c r="DS83" s="22"/>
      <c r="DT83" s="22"/>
      <c r="DU83" s="62"/>
      <c r="DV83" s="63"/>
      <c r="DW83" s="62"/>
      <c r="DX83" s="63"/>
      <c r="DY83" s="62"/>
      <c r="DZ83" s="63"/>
      <c r="EA83" s="62"/>
      <c r="EB83" s="63"/>
      <c r="EC83" s="22"/>
      <c r="ED83" s="22"/>
      <c r="EE83" s="21"/>
      <c r="EF83" s="43"/>
    </row>
    <row r="84" spans="2:136" ht="18" customHeight="1" x14ac:dyDescent="0.5">
      <c r="B84" s="25"/>
      <c r="C84" s="21"/>
      <c r="D84" s="22"/>
      <c r="E84" s="22"/>
      <c r="F84" s="64"/>
      <c r="G84" s="65"/>
      <c r="H84" s="64"/>
      <c r="I84" s="65"/>
      <c r="J84" s="64"/>
      <c r="K84" s="65"/>
      <c r="L84" s="64"/>
      <c r="M84" s="65"/>
      <c r="N84" s="22"/>
      <c r="O84" s="22"/>
      <c r="P84" s="21"/>
      <c r="Q84" s="43"/>
      <c r="R84" s="21"/>
      <c r="S84" s="25"/>
      <c r="T84" s="21"/>
      <c r="U84" s="22"/>
      <c r="V84" s="22"/>
      <c r="W84" s="64"/>
      <c r="X84" s="65"/>
      <c r="Y84" s="64"/>
      <c r="Z84" s="65"/>
      <c r="AA84" s="64"/>
      <c r="AB84" s="65"/>
      <c r="AC84" s="64"/>
      <c r="AD84" s="65"/>
      <c r="AE84" s="22"/>
      <c r="AF84" s="22"/>
      <c r="AG84" s="21"/>
      <c r="AH84" s="43"/>
      <c r="AI84" s="53"/>
      <c r="AJ84" s="25"/>
      <c r="AK84" s="21"/>
      <c r="AL84" s="22"/>
      <c r="AM84" s="22"/>
      <c r="AN84" s="64"/>
      <c r="AO84" s="65"/>
      <c r="AP84" s="64"/>
      <c r="AQ84" s="65"/>
      <c r="AR84" s="64"/>
      <c r="AS84" s="65"/>
      <c r="AT84" s="64"/>
      <c r="AU84" s="65"/>
      <c r="AV84" s="22"/>
      <c r="AW84" s="22"/>
      <c r="AX84" s="21"/>
      <c r="AY84" s="43"/>
      <c r="AZ84" s="53"/>
      <c r="BA84" s="25"/>
      <c r="BB84" s="21"/>
      <c r="BC84" s="22"/>
      <c r="BD84" s="22"/>
      <c r="BE84" s="64"/>
      <c r="BF84" s="65"/>
      <c r="BG84" s="64"/>
      <c r="BH84" s="65"/>
      <c r="BI84" s="64"/>
      <c r="BJ84" s="65"/>
      <c r="BK84" s="64"/>
      <c r="BL84" s="65"/>
      <c r="BM84" s="22"/>
      <c r="BN84" s="22"/>
      <c r="BO84" s="21"/>
      <c r="BP84" s="43"/>
      <c r="BQ84" s="53"/>
      <c r="BR84" s="25"/>
      <c r="BS84" s="21"/>
      <c r="BT84" s="22"/>
      <c r="BU84" s="22"/>
      <c r="BV84" s="64"/>
      <c r="BW84" s="65"/>
      <c r="BX84" s="64"/>
      <c r="BY84" s="65"/>
      <c r="BZ84" s="64"/>
      <c r="CA84" s="65"/>
      <c r="CB84" s="64"/>
      <c r="CC84" s="65"/>
      <c r="CD84" s="22"/>
      <c r="CE84" s="22"/>
      <c r="CF84" s="21"/>
      <c r="CG84" s="43"/>
      <c r="CH84" s="53"/>
      <c r="CI84" s="25"/>
      <c r="CJ84" s="21"/>
      <c r="CK84" s="22"/>
      <c r="CL84" s="22"/>
      <c r="CM84" s="64"/>
      <c r="CN84" s="65"/>
      <c r="CO84" s="64"/>
      <c r="CP84" s="65"/>
      <c r="CQ84" s="64"/>
      <c r="CR84" s="65"/>
      <c r="CS84" s="64"/>
      <c r="CT84" s="65"/>
      <c r="CU84" s="22"/>
      <c r="CV84" s="22"/>
      <c r="CW84" s="21"/>
      <c r="CX84" s="43"/>
      <c r="CY84" s="53"/>
      <c r="CZ84" s="25"/>
      <c r="DA84" s="21"/>
      <c r="DB84" s="22"/>
      <c r="DC84" s="22"/>
      <c r="DD84" s="64"/>
      <c r="DE84" s="65"/>
      <c r="DF84" s="64"/>
      <c r="DG84" s="65"/>
      <c r="DH84" s="64"/>
      <c r="DI84" s="65"/>
      <c r="DJ84" s="64"/>
      <c r="DK84" s="65"/>
      <c r="DL84" s="22"/>
      <c r="DM84" s="22"/>
      <c r="DN84" s="21"/>
      <c r="DO84" s="43"/>
      <c r="DP84" s="53"/>
      <c r="DQ84" s="25"/>
      <c r="DR84" s="21"/>
      <c r="DS84" s="22"/>
      <c r="DT84" s="22"/>
      <c r="DU84" s="64"/>
      <c r="DV84" s="65"/>
      <c r="DW84" s="64"/>
      <c r="DX84" s="65"/>
      <c r="DY84" s="64"/>
      <c r="DZ84" s="65"/>
      <c r="EA84" s="64"/>
      <c r="EB84" s="65"/>
      <c r="EC84" s="22"/>
      <c r="ED84" s="22"/>
      <c r="EE84" s="21"/>
      <c r="EF84" s="43"/>
    </row>
    <row r="85" spans="2:136" ht="18" customHeight="1" x14ac:dyDescent="0.5">
      <c r="B85" s="25"/>
      <c r="C85" s="22"/>
      <c r="D85" s="22"/>
      <c r="E85" s="62"/>
      <c r="F85" s="63"/>
      <c r="G85" s="62"/>
      <c r="H85" s="63"/>
      <c r="I85" s="62"/>
      <c r="J85" s="63"/>
      <c r="K85" s="62"/>
      <c r="L85" s="63"/>
      <c r="M85" s="62"/>
      <c r="N85" s="63"/>
      <c r="O85" s="22"/>
      <c r="P85" s="22"/>
      <c r="Q85" s="43"/>
      <c r="R85" s="21"/>
      <c r="S85" s="25"/>
      <c r="T85" s="22"/>
      <c r="U85" s="22"/>
      <c r="V85" s="62"/>
      <c r="W85" s="63"/>
      <c r="X85" s="62"/>
      <c r="Y85" s="63"/>
      <c r="Z85" s="62"/>
      <c r="AA85" s="63"/>
      <c r="AB85" s="62"/>
      <c r="AC85" s="63"/>
      <c r="AD85" s="62"/>
      <c r="AE85" s="63"/>
      <c r="AF85" s="22"/>
      <c r="AG85" s="22"/>
      <c r="AH85" s="43"/>
      <c r="AI85" s="53"/>
      <c r="AJ85" s="25"/>
      <c r="AK85" s="22"/>
      <c r="AL85" s="22"/>
      <c r="AM85" s="62"/>
      <c r="AN85" s="63"/>
      <c r="AO85" s="62"/>
      <c r="AP85" s="63"/>
      <c r="AQ85" s="62"/>
      <c r="AR85" s="63"/>
      <c r="AS85" s="62"/>
      <c r="AT85" s="63"/>
      <c r="AU85" s="62"/>
      <c r="AV85" s="63"/>
      <c r="AW85" s="22"/>
      <c r="AX85" s="22"/>
      <c r="AY85" s="43"/>
      <c r="AZ85" s="53"/>
      <c r="BA85" s="25"/>
      <c r="BB85" s="22"/>
      <c r="BC85" s="22"/>
      <c r="BD85" s="62"/>
      <c r="BE85" s="63"/>
      <c r="BF85" s="62"/>
      <c r="BG85" s="63"/>
      <c r="BH85" s="62"/>
      <c r="BI85" s="63"/>
      <c r="BJ85" s="62"/>
      <c r="BK85" s="63"/>
      <c r="BL85" s="62"/>
      <c r="BM85" s="63"/>
      <c r="BN85" s="22"/>
      <c r="BO85" s="22"/>
      <c r="BP85" s="43"/>
      <c r="BQ85" s="53"/>
      <c r="BR85" s="25"/>
      <c r="BS85" s="22"/>
      <c r="BT85" s="22"/>
      <c r="BU85" s="62"/>
      <c r="BV85" s="63"/>
      <c r="BW85" s="62"/>
      <c r="BX85" s="63"/>
      <c r="BY85" s="62"/>
      <c r="BZ85" s="63"/>
      <c r="CA85" s="62"/>
      <c r="CB85" s="63"/>
      <c r="CC85" s="62"/>
      <c r="CD85" s="63"/>
      <c r="CE85" s="22"/>
      <c r="CF85" s="22"/>
      <c r="CG85" s="43"/>
      <c r="CH85" s="53"/>
      <c r="CI85" s="25"/>
      <c r="CJ85" s="22"/>
      <c r="CK85" s="22"/>
      <c r="CL85" s="62"/>
      <c r="CM85" s="63"/>
      <c r="CN85" s="62"/>
      <c r="CO85" s="63"/>
      <c r="CP85" s="62"/>
      <c r="CQ85" s="63"/>
      <c r="CR85" s="62"/>
      <c r="CS85" s="63"/>
      <c r="CT85" s="62"/>
      <c r="CU85" s="63"/>
      <c r="CV85" s="22"/>
      <c r="CW85" s="22"/>
      <c r="CX85" s="43"/>
      <c r="CY85" s="53"/>
      <c r="CZ85" s="25"/>
      <c r="DA85" s="22"/>
      <c r="DB85" s="22"/>
      <c r="DC85" s="62"/>
      <c r="DD85" s="63"/>
      <c r="DE85" s="62"/>
      <c r="DF85" s="63"/>
      <c r="DG85" s="62"/>
      <c r="DH85" s="63"/>
      <c r="DI85" s="62"/>
      <c r="DJ85" s="63"/>
      <c r="DK85" s="62"/>
      <c r="DL85" s="63"/>
      <c r="DM85" s="22"/>
      <c r="DN85" s="22"/>
      <c r="DO85" s="43"/>
      <c r="DP85" s="53"/>
      <c r="DQ85" s="25"/>
      <c r="DR85" s="22"/>
      <c r="DS85" s="22"/>
      <c r="DT85" s="62"/>
      <c r="DU85" s="63"/>
      <c r="DV85" s="62"/>
      <c r="DW85" s="63"/>
      <c r="DX85" s="62"/>
      <c r="DY85" s="63"/>
      <c r="DZ85" s="62"/>
      <c r="EA85" s="63"/>
      <c r="EB85" s="62"/>
      <c r="EC85" s="63"/>
      <c r="ED85" s="22"/>
      <c r="EE85" s="22"/>
      <c r="EF85" s="43"/>
    </row>
    <row r="86" spans="2:136" ht="18" customHeight="1" x14ac:dyDescent="0.5">
      <c r="B86" s="25"/>
      <c r="C86" s="22"/>
      <c r="D86" s="22"/>
      <c r="E86" s="64"/>
      <c r="F86" s="65"/>
      <c r="G86" s="64"/>
      <c r="H86" s="65"/>
      <c r="I86" s="64"/>
      <c r="J86" s="65"/>
      <c r="K86" s="64"/>
      <c r="L86" s="65"/>
      <c r="M86" s="64"/>
      <c r="N86" s="65"/>
      <c r="O86" s="22"/>
      <c r="P86" s="22"/>
      <c r="Q86" s="43"/>
      <c r="R86" s="21"/>
      <c r="S86" s="25"/>
      <c r="T86" s="22"/>
      <c r="U86" s="22"/>
      <c r="V86" s="64"/>
      <c r="W86" s="65"/>
      <c r="X86" s="64"/>
      <c r="Y86" s="65"/>
      <c r="Z86" s="64"/>
      <c r="AA86" s="65"/>
      <c r="AB86" s="64"/>
      <c r="AC86" s="65"/>
      <c r="AD86" s="64"/>
      <c r="AE86" s="65"/>
      <c r="AF86" s="22"/>
      <c r="AG86" s="22"/>
      <c r="AH86" s="43"/>
      <c r="AI86" s="53"/>
      <c r="AJ86" s="25"/>
      <c r="AK86" s="22"/>
      <c r="AL86" s="22"/>
      <c r="AM86" s="64"/>
      <c r="AN86" s="65"/>
      <c r="AO86" s="64"/>
      <c r="AP86" s="65"/>
      <c r="AQ86" s="64"/>
      <c r="AR86" s="65"/>
      <c r="AS86" s="64"/>
      <c r="AT86" s="65"/>
      <c r="AU86" s="64"/>
      <c r="AV86" s="65"/>
      <c r="AW86" s="22"/>
      <c r="AX86" s="22"/>
      <c r="AY86" s="43"/>
      <c r="AZ86" s="53"/>
      <c r="BA86" s="25"/>
      <c r="BB86" s="22"/>
      <c r="BC86" s="22"/>
      <c r="BD86" s="64"/>
      <c r="BE86" s="65"/>
      <c r="BF86" s="64"/>
      <c r="BG86" s="65"/>
      <c r="BH86" s="64"/>
      <c r="BI86" s="65"/>
      <c r="BJ86" s="64"/>
      <c r="BK86" s="65"/>
      <c r="BL86" s="64"/>
      <c r="BM86" s="65"/>
      <c r="BN86" s="22"/>
      <c r="BO86" s="22"/>
      <c r="BP86" s="43"/>
      <c r="BQ86" s="53"/>
      <c r="BR86" s="25"/>
      <c r="BS86" s="22"/>
      <c r="BT86" s="22"/>
      <c r="BU86" s="64"/>
      <c r="BV86" s="65"/>
      <c r="BW86" s="64"/>
      <c r="BX86" s="65"/>
      <c r="BY86" s="64"/>
      <c r="BZ86" s="65"/>
      <c r="CA86" s="64"/>
      <c r="CB86" s="65"/>
      <c r="CC86" s="64"/>
      <c r="CD86" s="65"/>
      <c r="CE86" s="22"/>
      <c r="CF86" s="22"/>
      <c r="CG86" s="43"/>
      <c r="CH86" s="53"/>
      <c r="CI86" s="25"/>
      <c r="CJ86" s="22"/>
      <c r="CK86" s="22"/>
      <c r="CL86" s="64"/>
      <c r="CM86" s="65"/>
      <c r="CN86" s="64"/>
      <c r="CO86" s="65"/>
      <c r="CP86" s="64"/>
      <c r="CQ86" s="65"/>
      <c r="CR86" s="64"/>
      <c r="CS86" s="65"/>
      <c r="CT86" s="64"/>
      <c r="CU86" s="65"/>
      <c r="CV86" s="22"/>
      <c r="CW86" s="22"/>
      <c r="CX86" s="43"/>
      <c r="CY86" s="53"/>
      <c r="CZ86" s="25"/>
      <c r="DA86" s="22"/>
      <c r="DB86" s="22"/>
      <c r="DC86" s="64"/>
      <c r="DD86" s="65"/>
      <c r="DE86" s="64"/>
      <c r="DF86" s="65"/>
      <c r="DG86" s="64"/>
      <c r="DH86" s="65"/>
      <c r="DI86" s="64"/>
      <c r="DJ86" s="65"/>
      <c r="DK86" s="64"/>
      <c r="DL86" s="65"/>
      <c r="DM86" s="22"/>
      <c r="DN86" s="22"/>
      <c r="DO86" s="43"/>
      <c r="DP86" s="53"/>
      <c r="DQ86" s="25"/>
      <c r="DR86" s="22"/>
      <c r="DS86" s="22"/>
      <c r="DT86" s="64"/>
      <c r="DU86" s="65"/>
      <c r="DV86" s="64"/>
      <c r="DW86" s="65"/>
      <c r="DX86" s="64"/>
      <c r="DY86" s="65"/>
      <c r="DZ86" s="64"/>
      <c r="EA86" s="65"/>
      <c r="EB86" s="64"/>
      <c r="EC86" s="65"/>
      <c r="ED86" s="22"/>
      <c r="EE86" s="22"/>
      <c r="EF86" s="43"/>
    </row>
    <row r="87" spans="2:136" ht="18" customHeight="1" x14ac:dyDescent="0.5">
      <c r="B87" s="25"/>
      <c r="C87" s="22"/>
      <c r="D87" s="62"/>
      <c r="E87" s="63"/>
      <c r="F87" s="62"/>
      <c r="G87" s="63"/>
      <c r="H87" s="69">
        <v>3</v>
      </c>
      <c r="I87" s="63"/>
      <c r="J87" s="62"/>
      <c r="K87" s="63"/>
      <c r="L87" s="62"/>
      <c r="M87" s="63"/>
      <c r="N87" s="62"/>
      <c r="O87" s="63"/>
      <c r="P87" s="22"/>
      <c r="Q87" s="43"/>
      <c r="R87" s="21"/>
      <c r="S87" s="25"/>
      <c r="T87" s="22"/>
      <c r="U87" s="62"/>
      <c r="V87" s="63"/>
      <c r="W87" s="62"/>
      <c r="X87" s="63"/>
      <c r="Y87" s="69">
        <v>3</v>
      </c>
      <c r="Z87" s="63"/>
      <c r="AA87" s="69">
        <v>3</v>
      </c>
      <c r="AB87" s="63"/>
      <c r="AC87" s="62"/>
      <c r="AD87" s="63"/>
      <c r="AE87" s="62"/>
      <c r="AF87" s="63"/>
      <c r="AG87" s="22"/>
      <c r="AH87" s="43"/>
      <c r="AI87" s="53"/>
      <c r="AJ87" s="25"/>
      <c r="AK87" s="22"/>
      <c r="AL87" s="62"/>
      <c r="AM87" s="63"/>
      <c r="AN87" s="62"/>
      <c r="AO87" s="63"/>
      <c r="AP87" s="69">
        <v>3</v>
      </c>
      <c r="AQ87" s="63"/>
      <c r="AR87" s="69">
        <v>3</v>
      </c>
      <c r="AS87" s="63"/>
      <c r="AT87" s="62"/>
      <c r="AU87" s="63"/>
      <c r="AV87" s="62"/>
      <c r="AW87" s="63"/>
      <c r="AX87" s="22"/>
      <c r="AY87" s="43"/>
      <c r="AZ87" s="53"/>
      <c r="BA87" s="25"/>
      <c r="BB87" s="22"/>
      <c r="BC87" s="62"/>
      <c r="BD87" s="63"/>
      <c r="BE87" s="62"/>
      <c r="BF87" s="63"/>
      <c r="BG87" s="69">
        <v>3</v>
      </c>
      <c r="BH87" s="63"/>
      <c r="BI87" s="69">
        <v>3</v>
      </c>
      <c r="BJ87" s="63"/>
      <c r="BK87" s="62"/>
      <c r="BL87" s="63"/>
      <c r="BM87" s="62"/>
      <c r="BN87" s="63"/>
      <c r="BO87" s="22"/>
      <c r="BP87" s="43"/>
      <c r="BQ87" s="53"/>
      <c r="BR87" s="25"/>
      <c r="BS87" s="22"/>
      <c r="BT87" s="62"/>
      <c r="BU87" s="63"/>
      <c r="BV87" s="62"/>
      <c r="BW87" s="63"/>
      <c r="BX87" s="62"/>
      <c r="BY87" s="63"/>
      <c r="BZ87" s="62"/>
      <c r="CA87" s="63"/>
      <c r="CB87" s="62"/>
      <c r="CC87" s="63"/>
      <c r="CD87" s="62"/>
      <c r="CE87" s="63"/>
      <c r="CF87" s="22"/>
      <c r="CG87" s="43"/>
      <c r="CH87" s="53"/>
      <c r="CI87" s="25"/>
      <c r="CJ87" s="22"/>
      <c r="CK87" s="62"/>
      <c r="CL87" s="63"/>
      <c r="CM87" s="62"/>
      <c r="CN87" s="63"/>
      <c r="CO87" s="62"/>
      <c r="CP87" s="63"/>
      <c r="CQ87" s="70">
        <v>5</v>
      </c>
      <c r="CR87" s="63"/>
      <c r="CS87" s="62"/>
      <c r="CT87" s="63"/>
      <c r="CU87" s="62"/>
      <c r="CV87" s="63"/>
      <c r="CW87" s="22"/>
      <c r="CX87" s="43"/>
      <c r="CY87" s="53"/>
      <c r="CZ87" s="25"/>
      <c r="DA87" s="22"/>
      <c r="DB87" s="62"/>
      <c r="DC87" s="63"/>
      <c r="DD87" s="62"/>
      <c r="DE87" s="63"/>
      <c r="DF87" s="70">
        <v>5</v>
      </c>
      <c r="DG87" s="63"/>
      <c r="DH87" s="62"/>
      <c r="DI87" s="63"/>
      <c r="DJ87" s="62"/>
      <c r="DK87" s="63"/>
      <c r="DL87" s="62"/>
      <c r="DM87" s="63"/>
      <c r="DN87" s="22"/>
      <c r="DO87" s="43"/>
      <c r="DP87" s="53"/>
      <c r="DQ87" s="25"/>
      <c r="DR87" s="22"/>
      <c r="DS87" s="62"/>
      <c r="DT87" s="63"/>
      <c r="DU87" s="62"/>
      <c r="DV87" s="63"/>
      <c r="DW87" s="62"/>
      <c r="DX87" s="63"/>
      <c r="DY87" s="62"/>
      <c r="DZ87" s="63"/>
      <c r="EA87" s="62"/>
      <c r="EB87" s="63"/>
      <c r="EC87" s="62"/>
      <c r="ED87" s="63"/>
      <c r="EE87" s="22"/>
      <c r="EF87" s="43"/>
    </row>
    <row r="88" spans="2:136" ht="18" customHeight="1" x14ac:dyDescent="0.5">
      <c r="B88" s="25"/>
      <c r="C88" s="22"/>
      <c r="D88" s="64"/>
      <c r="E88" s="65"/>
      <c r="F88" s="64"/>
      <c r="G88" s="65"/>
      <c r="H88" s="64"/>
      <c r="I88" s="65"/>
      <c r="J88" s="64"/>
      <c r="K88" s="65"/>
      <c r="L88" s="64"/>
      <c r="M88" s="65"/>
      <c r="N88" s="64"/>
      <c r="O88" s="65"/>
      <c r="P88" s="22"/>
      <c r="Q88" s="43"/>
      <c r="R88" s="21"/>
      <c r="S88" s="25"/>
      <c r="T88" s="22"/>
      <c r="U88" s="64"/>
      <c r="V88" s="65"/>
      <c r="W88" s="64"/>
      <c r="X88" s="65"/>
      <c r="Y88" s="64"/>
      <c r="Z88" s="65"/>
      <c r="AA88" s="64"/>
      <c r="AB88" s="65"/>
      <c r="AC88" s="64"/>
      <c r="AD88" s="65"/>
      <c r="AE88" s="64"/>
      <c r="AF88" s="65"/>
      <c r="AG88" s="22"/>
      <c r="AH88" s="43"/>
      <c r="AI88" s="53"/>
      <c r="AJ88" s="25"/>
      <c r="AK88" s="22"/>
      <c r="AL88" s="64"/>
      <c r="AM88" s="65"/>
      <c r="AN88" s="64"/>
      <c r="AO88" s="65"/>
      <c r="AP88" s="64"/>
      <c r="AQ88" s="65"/>
      <c r="AR88" s="64"/>
      <c r="AS88" s="65"/>
      <c r="AT88" s="64"/>
      <c r="AU88" s="65"/>
      <c r="AV88" s="64"/>
      <c r="AW88" s="65"/>
      <c r="AX88" s="22"/>
      <c r="AY88" s="43"/>
      <c r="AZ88" s="53"/>
      <c r="BA88" s="25"/>
      <c r="BB88" s="22"/>
      <c r="BC88" s="64"/>
      <c r="BD88" s="65"/>
      <c r="BE88" s="64"/>
      <c r="BF88" s="65"/>
      <c r="BG88" s="64"/>
      <c r="BH88" s="65"/>
      <c r="BI88" s="64"/>
      <c r="BJ88" s="65"/>
      <c r="BK88" s="64"/>
      <c r="BL88" s="65"/>
      <c r="BM88" s="64"/>
      <c r="BN88" s="65"/>
      <c r="BO88" s="22"/>
      <c r="BP88" s="43"/>
      <c r="BQ88" s="53"/>
      <c r="BR88" s="25"/>
      <c r="BS88" s="22"/>
      <c r="BT88" s="64"/>
      <c r="BU88" s="65"/>
      <c r="BV88" s="64"/>
      <c r="BW88" s="65"/>
      <c r="BX88" s="64"/>
      <c r="BY88" s="65"/>
      <c r="BZ88" s="64"/>
      <c r="CA88" s="65"/>
      <c r="CB88" s="64"/>
      <c r="CC88" s="65"/>
      <c r="CD88" s="64"/>
      <c r="CE88" s="65"/>
      <c r="CF88" s="22"/>
      <c r="CG88" s="43"/>
      <c r="CH88" s="53"/>
      <c r="CI88" s="25"/>
      <c r="CJ88" s="22"/>
      <c r="CK88" s="64"/>
      <c r="CL88" s="65"/>
      <c r="CM88" s="64"/>
      <c r="CN88" s="65"/>
      <c r="CO88" s="64"/>
      <c r="CP88" s="65"/>
      <c r="CQ88" s="64"/>
      <c r="CR88" s="65"/>
      <c r="CS88" s="64"/>
      <c r="CT88" s="65"/>
      <c r="CU88" s="64"/>
      <c r="CV88" s="65"/>
      <c r="CW88" s="22"/>
      <c r="CX88" s="43"/>
      <c r="CY88" s="53"/>
      <c r="CZ88" s="25"/>
      <c r="DA88" s="22"/>
      <c r="DB88" s="64"/>
      <c r="DC88" s="65"/>
      <c r="DD88" s="64"/>
      <c r="DE88" s="65"/>
      <c r="DF88" s="64"/>
      <c r="DG88" s="65"/>
      <c r="DH88" s="64"/>
      <c r="DI88" s="65"/>
      <c r="DJ88" s="64"/>
      <c r="DK88" s="65"/>
      <c r="DL88" s="64"/>
      <c r="DM88" s="65"/>
      <c r="DN88" s="22"/>
      <c r="DO88" s="43"/>
      <c r="DP88" s="53"/>
      <c r="DQ88" s="25"/>
      <c r="DR88" s="22"/>
      <c r="DS88" s="64"/>
      <c r="DT88" s="65"/>
      <c r="DU88" s="64"/>
      <c r="DV88" s="65"/>
      <c r="DW88" s="64"/>
      <c r="DX88" s="65"/>
      <c r="DY88" s="64"/>
      <c r="DZ88" s="65"/>
      <c r="EA88" s="64"/>
      <c r="EB88" s="65"/>
      <c r="EC88" s="64"/>
      <c r="ED88" s="65"/>
      <c r="EE88" s="22"/>
      <c r="EF88" s="43"/>
    </row>
    <row r="89" spans="2:136" ht="18" customHeight="1" x14ac:dyDescent="0.5">
      <c r="B89" s="25"/>
      <c r="C89" s="62"/>
      <c r="D89" s="63"/>
      <c r="E89" s="62"/>
      <c r="F89" s="63"/>
      <c r="G89" s="69">
        <v>3</v>
      </c>
      <c r="H89" s="63"/>
      <c r="I89" s="69">
        <v>3</v>
      </c>
      <c r="J89" s="63"/>
      <c r="K89" s="62"/>
      <c r="L89" s="63"/>
      <c r="M89" s="62"/>
      <c r="N89" s="63"/>
      <c r="O89" s="62"/>
      <c r="P89" s="63"/>
      <c r="Q89" s="43"/>
      <c r="R89" s="21"/>
      <c r="S89" s="25"/>
      <c r="T89" s="62"/>
      <c r="U89" s="63"/>
      <c r="V89" s="62"/>
      <c r="W89" s="63"/>
      <c r="X89" s="69">
        <v>3</v>
      </c>
      <c r="Y89" s="63"/>
      <c r="Z89" s="69">
        <v>3</v>
      </c>
      <c r="AA89" s="63"/>
      <c r="AB89" s="62"/>
      <c r="AC89" s="63"/>
      <c r="AD89" s="62"/>
      <c r="AE89" s="63"/>
      <c r="AF89" s="62"/>
      <c r="AG89" s="63"/>
      <c r="AH89" s="43"/>
      <c r="AI89" s="53"/>
      <c r="AJ89" s="25"/>
      <c r="AK89" s="62"/>
      <c r="AL89" s="63"/>
      <c r="AM89" s="62"/>
      <c r="AN89" s="63"/>
      <c r="AO89" s="69">
        <v>3</v>
      </c>
      <c r="AP89" s="63"/>
      <c r="AQ89" s="69">
        <v>3</v>
      </c>
      <c r="AR89" s="63"/>
      <c r="AS89" s="69">
        <v>3</v>
      </c>
      <c r="AT89" s="63"/>
      <c r="AU89" s="62"/>
      <c r="AV89" s="63"/>
      <c r="AW89" s="62"/>
      <c r="AX89" s="63"/>
      <c r="AY89" s="43"/>
      <c r="AZ89" s="53"/>
      <c r="BA89" s="25"/>
      <c r="BB89" s="62"/>
      <c r="BC89" s="63"/>
      <c r="BD89" s="62"/>
      <c r="BE89" s="63"/>
      <c r="BF89" s="62"/>
      <c r="BG89" s="63"/>
      <c r="BH89" s="69">
        <v>3</v>
      </c>
      <c r="BI89" s="63"/>
      <c r="BJ89" s="69">
        <v>3</v>
      </c>
      <c r="BK89" s="63"/>
      <c r="BL89" s="62"/>
      <c r="BM89" s="63"/>
      <c r="BN89" s="62"/>
      <c r="BO89" s="63"/>
      <c r="BP89" s="43"/>
      <c r="BQ89" s="53"/>
      <c r="BR89" s="25"/>
      <c r="BS89" s="62"/>
      <c r="BT89" s="63"/>
      <c r="BU89" s="62"/>
      <c r="BV89" s="63"/>
      <c r="BW89" s="62"/>
      <c r="BX89" s="63"/>
      <c r="BY89" s="70">
        <v>5</v>
      </c>
      <c r="BZ89" s="63"/>
      <c r="CA89" s="70">
        <v>5</v>
      </c>
      <c r="CB89" s="63"/>
      <c r="CC89" s="62"/>
      <c r="CD89" s="63"/>
      <c r="CE89" s="62"/>
      <c r="CF89" s="63"/>
      <c r="CG89" s="43"/>
      <c r="CH89" s="53"/>
      <c r="CI89" s="25"/>
      <c r="CJ89" s="62"/>
      <c r="CK89" s="63"/>
      <c r="CL89" s="62"/>
      <c r="CM89" s="63"/>
      <c r="CN89" s="62"/>
      <c r="CO89" s="63"/>
      <c r="CP89" s="70">
        <v>5</v>
      </c>
      <c r="CQ89" s="63"/>
      <c r="CR89" s="62"/>
      <c r="CS89" s="63"/>
      <c r="CT89" s="62"/>
      <c r="CU89" s="63"/>
      <c r="CV89" s="62"/>
      <c r="CW89" s="63"/>
      <c r="CX89" s="43"/>
      <c r="CY89" s="53"/>
      <c r="CZ89" s="25"/>
      <c r="DA89" s="62"/>
      <c r="DB89" s="63"/>
      <c r="DC89" s="62"/>
      <c r="DD89" s="63"/>
      <c r="DE89" s="62"/>
      <c r="DF89" s="63"/>
      <c r="DG89" s="70">
        <v>5</v>
      </c>
      <c r="DH89" s="63"/>
      <c r="DI89" s="62"/>
      <c r="DJ89" s="63"/>
      <c r="DK89" s="62"/>
      <c r="DL89" s="63"/>
      <c r="DM89" s="62"/>
      <c r="DN89" s="63"/>
      <c r="DO89" s="43"/>
      <c r="DP89" s="53"/>
      <c r="DQ89" s="25"/>
      <c r="DR89" s="62"/>
      <c r="DS89" s="63"/>
      <c r="DT89" s="62"/>
      <c r="DU89" s="63"/>
      <c r="DV89" s="67">
        <v>2</v>
      </c>
      <c r="DW89" s="63"/>
      <c r="DX89" s="67">
        <v>2</v>
      </c>
      <c r="DY89" s="63"/>
      <c r="DZ89" s="67">
        <v>2</v>
      </c>
      <c r="EA89" s="63"/>
      <c r="EB89" s="62"/>
      <c r="EC89" s="63"/>
      <c r="ED89" s="62"/>
      <c r="EE89" s="63"/>
      <c r="EF89" s="43"/>
    </row>
    <row r="90" spans="2:136" ht="18" customHeight="1" x14ac:dyDescent="0.5">
      <c r="B90" s="25"/>
      <c r="C90" s="64"/>
      <c r="D90" s="65"/>
      <c r="E90" s="64"/>
      <c r="F90" s="65"/>
      <c r="G90" s="64"/>
      <c r="H90" s="65"/>
      <c r="I90" s="64"/>
      <c r="J90" s="65"/>
      <c r="K90" s="64"/>
      <c r="L90" s="65"/>
      <c r="M90" s="64"/>
      <c r="N90" s="65"/>
      <c r="O90" s="64"/>
      <c r="P90" s="65"/>
      <c r="Q90" s="43"/>
      <c r="R90" s="21"/>
      <c r="S90" s="25"/>
      <c r="T90" s="64"/>
      <c r="U90" s="65"/>
      <c r="V90" s="64"/>
      <c r="W90" s="65"/>
      <c r="X90" s="64"/>
      <c r="Y90" s="65"/>
      <c r="Z90" s="64"/>
      <c r="AA90" s="65"/>
      <c r="AB90" s="64"/>
      <c r="AC90" s="65"/>
      <c r="AD90" s="64"/>
      <c r="AE90" s="65"/>
      <c r="AF90" s="64"/>
      <c r="AG90" s="65"/>
      <c r="AH90" s="43"/>
      <c r="AI90" s="53"/>
      <c r="AJ90" s="25"/>
      <c r="AK90" s="64"/>
      <c r="AL90" s="65"/>
      <c r="AM90" s="64"/>
      <c r="AN90" s="65"/>
      <c r="AO90" s="64"/>
      <c r="AP90" s="65"/>
      <c r="AQ90" s="64"/>
      <c r="AR90" s="65"/>
      <c r="AS90" s="64"/>
      <c r="AT90" s="65"/>
      <c r="AU90" s="64"/>
      <c r="AV90" s="65"/>
      <c r="AW90" s="64"/>
      <c r="AX90" s="65"/>
      <c r="AY90" s="43"/>
      <c r="AZ90" s="53"/>
      <c r="BA90" s="25"/>
      <c r="BB90" s="64"/>
      <c r="BC90" s="65"/>
      <c r="BD90" s="64"/>
      <c r="BE90" s="65"/>
      <c r="BF90" s="64"/>
      <c r="BG90" s="65"/>
      <c r="BH90" s="64"/>
      <c r="BI90" s="65"/>
      <c r="BJ90" s="64"/>
      <c r="BK90" s="65"/>
      <c r="BL90" s="64"/>
      <c r="BM90" s="65"/>
      <c r="BN90" s="64"/>
      <c r="BO90" s="65"/>
      <c r="BP90" s="43"/>
      <c r="BQ90" s="53"/>
      <c r="BR90" s="25"/>
      <c r="BS90" s="64"/>
      <c r="BT90" s="65"/>
      <c r="BU90" s="64"/>
      <c r="BV90" s="65"/>
      <c r="BW90" s="64"/>
      <c r="BX90" s="65"/>
      <c r="BY90" s="64"/>
      <c r="BZ90" s="65"/>
      <c r="CA90" s="64"/>
      <c r="CB90" s="65"/>
      <c r="CC90" s="64"/>
      <c r="CD90" s="65"/>
      <c r="CE90" s="64"/>
      <c r="CF90" s="65"/>
      <c r="CG90" s="43"/>
      <c r="CH90" s="53"/>
      <c r="CI90" s="25"/>
      <c r="CJ90" s="64"/>
      <c r="CK90" s="65"/>
      <c r="CL90" s="64"/>
      <c r="CM90" s="65"/>
      <c r="CN90" s="64"/>
      <c r="CO90" s="65"/>
      <c r="CP90" s="64"/>
      <c r="CQ90" s="65"/>
      <c r="CR90" s="64"/>
      <c r="CS90" s="65"/>
      <c r="CT90" s="64"/>
      <c r="CU90" s="65"/>
      <c r="CV90" s="64"/>
      <c r="CW90" s="65"/>
      <c r="CX90" s="43"/>
      <c r="CY90" s="53"/>
      <c r="CZ90" s="25"/>
      <c r="DA90" s="64"/>
      <c r="DB90" s="65"/>
      <c r="DC90" s="64"/>
      <c r="DD90" s="65"/>
      <c r="DE90" s="64"/>
      <c r="DF90" s="65"/>
      <c r="DG90" s="64"/>
      <c r="DH90" s="65"/>
      <c r="DI90" s="64"/>
      <c r="DJ90" s="65"/>
      <c r="DK90" s="64"/>
      <c r="DL90" s="65"/>
      <c r="DM90" s="64"/>
      <c r="DN90" s="65"/>
      <c r="DO90" s="43"/>
      <c r="DP90" s="53"/>
      <c r="DQ90" s="25"/>
      <c r="DR90" s="64"/>
      <c r="DS90" s="65"/>
      <c r="DT90" s="64"/>
      <c r="DU90" s="65"/>
      <c r="DV90" s="64"/>
      <c r="DW90" s="65"/>
      <c r="DX90" s="64"/>
      <c r="DY90" s="65"/>
      <c r="DZ90" s="64"/>
      <c r="EA90" s="65"/>
      <c r="EB90" s="64"/>
      <c r="EC90" s="65"/>
      <c r="ED90" s="64"/>
      <c r="EE90" s="65"/>
      <c r="EF90" s="43"/>
    </row>
    <row r="91" spans="2:136" ht="18" customHeight="1" x14ac:dyDescent="0.5">
      <c r="B91" s="25"/>
      <c r="C91" s="22"/>
      <c r="D91" s="62"/>
      <c r="E91" s="63"/>
      <c r="F91" s="62"/>
      <c r="G91" s="63"/>
      <c r="H91" s="69">
        <v>3</v>
      </c>
      <c r="I91" s="63"/>
      <c r="J91" s="69">
        <v>3</v>
      </c>
      <c r="K91" s="63"/>
      <c r="L91" s="62"/>
      <c r="M91" s="63"/>
      <c r="N91" s="62"/>
      <c r="O91" s="63"/>
      <c r="P91" s="22"/>
      <c r="Q91" s="43"/>
      <c r="R91" s="21"/>
      <c r="S91" s="25"/>
      <c r="T91" s="22"/>
      <c r="U91" s="62"/>
      <c r="V91" s="63"/>
      <c r="W91" s="62"/>
      <c r="X91" s="63"/>
      <c r="Y91" s="69">
        <v>3</v>
      </c>
      <c r="Z91" s="63"/>
      <c r="AA91" s="62"/>
      <c r="AB91" s="63"/>
      <c r="AC91" s="62"/>
      <c r="AD91" s="63"/>
      <c r="AE91" s="62"/>
      <c r="AF91" s="63"/>
      <c r="AG91" s="22"/>
      <c r="AH91" s="43"/>
      <c r="AI91" s="53"/>
      <c r="AJ91" s="25"/>
      <c r="AK91" s="22"/>
      <c r="AL91" s="62"/>
      <c r="AM91" s="63"/>
      <c r="AN91" s="62"/>
      <c r="AO91" s="63"/>
      <c r="AP91" s="62"/>
      <c r="AQ91" s="63"/>
      <c r="AR91" s="62"/>
      <c r="AS91" s="63"/>
      <c r="AT91" s="62"/>
      <c r="AU91" s="63"/>
      <c r="AV91" s="62"/>
      <c r="AW91" s="63"/>
      <c r="AX91" s="22"/>
      <c r="AY91" s="43"/>
      <c r="AZ91" s="53"/>
      <c r="BA91" s="25"/>
      <c r="BB91" s="22"/>
      <c r="BC91" s="62"/>
      <c r="BD91" s="63"/>
      <c r="BE91" s="62"/>
      <c r="BF91" s="63"/>
      <c r="BG91" s="62"/>
      <c r="BH91" s="63"/>
      <c r="BI91" s="69">
        <v>3</v>
      </c>
      <c r="BJ91" s="63"/>
      <c r="BK91" s="62"/>
      <c r="BL91" s="63"/>
      <c r="BM91" s="62"/>
      <c r="BN91" s="63"/>
      <c r="BO91" s="22"/>
      <c r="BP91" s="43"/>
      <c r="BQ91" s="53"/>
      <c r="BR91" s="25"/>
      <c r="BS91" s="22"/>
      <c r="BT91" s="62"/>
      <c r="BU91" s="63"/>
      <c r="BV91" s="62"/>
      <c r="BW91" s="63"/>
      <c r="BX91" s="62"/>
      <c r="BY91" s="63"/>
      <c r="BZ91" s="62"/>
      <c r="CA91" s="63"/>
      <c r="CB91" s="62"/>
      <c r="CC91" s="63"/>
      <c r="CD91" s="62"/>
      <c r="CE91" s="63"/>
      <c r="CF91" s="22"/>
      <c r="CG91" s="43"/>
      <c r="CH91" s="53"/>
      <c r="CI91" s="25"/>
      <c r="CJ91" s="22"/>
      <c r="CK91" s="62"/>
      <c r="CL91" s="63"/>
      <c r="CM91" s="62"/>
      <c r="CN91" s="63"/>
      <c r="CO91" s="62"/>
      <c r="CP91" s="63"/>
      <c r="CQ91" s="62"/>
      <c r="CR91" s="63"/>
      <c r="CS91" s="62"/>
      <c r="CT91" s="63"/>
      <c r="CU91" s="62"/>
      <c r="CV91" s="63"/>
      <c r="CW91" s="22"/>
      <c r="CX91" s="43"/>
      <c r="CY91" s="53"/>
      <c r="CZ91" s="25"/>
      <c r="DA91" s="22"/>
      <c r="DB91" s="62"/>
      <c r="DC91" s="63"/>
      <c r="DD91" s="62"/>
      <c r="DE91" s="63"/>
      <c r="DF91" s="62"/>
      <c r="DG91" s="63"/>
      <c r="DH91" s="62"/>
      <c r="DI91" s="63"/>
      <c r="DJ91" s="62"/>
      <c r="DK91" s="63"/>
      <c r="DL91" s="62"/>
      <c r="DM91" s="63"/>
      <c r="DN91" s="22"/>
      <c r="DO91" s="43"/>
      <c r="DP91" s="53"/>
      <c r="DQ91" s="25"/>
      <c r="DR91" s="22"/>
      <c r="DS91" s="62"/>
      <c r="DT91" s="63"/>
      <c r="DU91" s="62"/>
      <c r="DV91" s="63"/>
      <c r="DW91" s="62"/>
      <c r="DX91" s="63"/>
      <c r="DY91" s="62"/>
      <c r="DZ91" s="63"/>
      <c r="EA91" s="62"/>
      <c r="EB91" s="63"/>
      <c r="EC91" s="62"/>
      <c r="ED91" s="63"/>
      <c r="EE91" s="22"/>
      <c r="EF91" s="43"/>
    </row>
    <row r="92" spans="2:136" ht="18" customHeight="1" x14ac:dyDescent="0.5">
      <c r="B92" s="25"/>
      <c r="C92" s="22"/>
      <c r="D92" s="64"/>
      <c r="E92" s="65"/>
      <c r="F92" s="64"/>
      <c r="G92" s="65"/>
      <c r="H92" s="64"/>
      <c r="I92" s="65"/>
      <c r="J92" s="64"/>
      <c r="K92" s="65"/>
      <c r="L92" s="64"/>
      <c r="M92" s="65"/>
      <c r="N92" s="64"/>
      <c r="O92" s="65"/>
      <c r="P92" s="22"/>
      <c r="Q92" s="43"/>
      <c r="R92" s="21"/>
      <c r="S92" s="25"/>
      <c r="T92" s="22"/>
      <c r="U92" s="64"/>
      <c r="V92" s="65"/>
      <c r="W92" s="64"/>
      <c r="X92" s="65"/>
      <c r="Y92" s="64"/>
      <c r="Z92" s="65"/>
      <c r="AA92" s="64"/>
      <c r="AB92" s="65"/>
      <c r="AC92" s="64"/>
      <c r="AD92" s="65"/>
      <c r="AE92" s="64"/>
      <c r="AF92" s="65"/>
      <c r="AG92" s="22"/>
      <c r="AH92" s="43"/>
      <c r="AI92" s="53"/>
      <c r="AJ92" s="25"/>
      <c r="AK92" s="22"/>
      <c r="AL92" s="64"/>
      <c r="AM92" s="65"/>
      <c r="AN92" s="64"/>
      <c r="AO92" s="65"/>
      <c r="AP92" s="64"/>
      <c r="AQ92" s="65"/>
      <c r="AR92" s="64"/>
      <c r="AS92" s="65"/>
      <c r="AT92" s="64"/>
      <c r="AU92" s="65"/>
      <c r="AV92" s="64"/>
      <c r="AW92" s="65"/>
      <c r="AX92" s="22"/>
      <c r="AY92" s="43"/>
      <c r="AZ92" s="53"/>
      <c r="BA92" s="25"/>
      <c r="BB92" s="22"/>
      <c r="BC92" s="64"/>
      <c r="BD92" s="65"/>
      <c r="BE92" s="64"/>
      <c r="BF92" s="65"/>
      <c r="BG92" s="64"/>
      <c r="BH92" s="65"/>
      <c r="BI92" s="64"/>
      <c r="BJ92" s="65"/>
      <c r="BK92" s="64"/>
      <c r="BL92" s="65"/>
      <c r="BM92" s="64"/>
      <c r="BN92" s="65"/>
      <c r="BO92" s="22"/>
      <c r="BP92" s="43"/>
      <c r="BQ92" s="53"/>
      <c r="BR92" s="25"/>
      <c r="BS92" s="22"/>
      <c r="BT92" s="64"/>
      <c r="BU92" s="65"/>
      <c r="BV92" s="64"/>
      <c r="BW92" s="65"/>
      <c r="BX92" s="64"/>
      <c r="BY92" s="65"/>
      <c r="BZ92" s="64"/>
      <c r="CA92" s="65"/>
      <c r="CB92" s="64"/>
      <c r="CC92" s="65"/>
      <c r="CD92" s="64"/>
      <c r="CE92" s="65"/>
      <c r="CF92" s="22"/>
      <c r="CG92" s="43"/>
      <c r="CH92" s="53"/>
      <c r="CI92" s="25"/>
      <c r="CJ92" s="22"/>
      <c r="CK92" s="64"/>
      <c r="CL92" s="65"/>
      <c r="CM92" s="64"/>
      <c r="CN92" s="65"/>
      <c r="CO92" s="64"/>
      <c r="CP92" s="65"/>
      <c r="CQ92" s="64"/>
      <c r="CR92" s="65"/>
      <c r="CS92" s="64"/>
      <c r="CT92" s="65"/>
      <c r="CU92" s="64"/>
      <c r="CV92" s="65"/>
      <c r="CW92" s="22"/>
      <c r="CX92" s="43"/>
      <c r="CY92" s="53"/>
      <c r="CZ92" s="25"/>
      <c r="DA92" s="22"/>
      <c r="DB92" s="64"/>
      <c r="DC92" s="65"/>
      <c r="DD92" s="64"/>
      <c r="DE92" s="65"/>
      <c r="DF92" s="64"/>
      <c r="DG92" s="65"/>
      <c r="DH92" s="64"/>
      <c r="DI92" s="65"/>
      <c r="DJ92" s="64"/>
      <c r="DK92" s="65"/>
      <c r="DL92" s="64"/>
      <c r="DM92" s="65"/>
      <c r="DN92" s="22"/>
      <c r="DO92" s="43"/>
      <c r="DP92" s="53"/>
      <c r="DQ92" s="25"/>
      <c r="DR92" s="22"/>
      <c r="DS92" s="64"/>
      <c r="DT92" s="65"/>
      <c r="DU92" s="64"/>
      <c r="DV92" s="65"/>
      <c r="DW92" s="64"/>
      <c r="DX92" s="65"/>
      <c r="DY92" s="64"/>
      <c r="DZ92" s="65"/>
      <c r="EA92" s="64"/>
      <c r="EB92" s="65"/>
      <c r="EC92" s="64"/>
      <c r="ED92" s="65"/>
      <c r="EE92" s="22"/>
      <c r="EF92" s="43"/>
    </row>
    <row r="93" spans="2:136" ht="18" customHeight="1" x14ac:dyDescent="0.5">
      <c r="B93" s="25"/>
      <c r="C93" s="22"/>
      <c r="D93" s="22"/>
      <c r="E93" s="62"/>
      <c r="F93" s="63"/>
      <c r="G93" s="62"/>
      <c r="H93" s="63"/>
      <c r="I93" s="62"/>
      <c r="J93" s="63"/>
      <c r="K93" s="62"/>
      <c r="L93" s="63"/>
      <c r="M93" s="62"/>
      <c r="N93" s="63"/>
      <c r="O93" s="22"/>
      <c r="P93" s="22"/>
      <c r="Q93" s="43"/>
      <c r="R93" s="21"/>
      <c r="S93" s="25"/>
      <c r="T93" s="22"/>
      <c r="U93" s="22"/>
      <c r="V93" s="62"/>
      <c r="W93" s="63"/>
      <c r="X93" s="62"/>
      <c r="Y93" s="63"/>
      <c r="Z93" s="62"/>
      <c r="AA93" s="63"/>
      <c r="AB93" s="62"/>
      <c r="AC93" s="63"/>
      <c r="AD93" s="62"/>
      <c r="AE93" s="63"/>
      <c r="AF93" s="22"/>
      <c r="AG93" s="22"/>
      <c r="AH93" s="43"/>
      <c r="AI93" s="53"/>
      <c r="AJ93" s="25"/>
      <c r="AK93" s="22"/>
      <c r="AL93" s="22"/>
      <c r="AM93" s="62"/>
      <c r="AN93" s="63"/>
      <c r="AO93" s="62"/>
      <c r="AP93" s="63"/>
      <c r="AQ93" s="62"/>
      <c r="AR93" s="63"/>
      <c r="AS93" s="62"/>
      <c r="AT93" s="63"/>
      <c r="AU93" s="62"/>
      <c r="AV93" s="63"/>
      <c r="AW93" s="22"/>
      <c r="AX93" s="22"/>
      <c r="AY93" s="43"/>
      <c r="AZ93" s="53"/>
      <c r="BA93" s="25"/>
      <c r="BB93" s="22"/>
      <c r="BC93" s="22"/>
      <c r="BD93" s="62"/>
      <c r="BE93" s="63"/>
      <c r="BF93" s="62"/>
      <c r="BG93" s="63"/>
      <c r="BH93" s="62"/>
      <c r="BI93" s="63"/>
      <c r="BJ93" s="62"/>
      <c r="BK93" s="63"/>
      <c r="BL93" s="62"/>
      <c r="BM93" s="63"/>
      <c r="BN93" s="22"/>
      <c r="BO93" s="22"/>
      <c r="BP93" s="43"/>
      <c r="BQ93" s="53"/>
      <c r="BR93" s="25"/>
      <c r="BS93" s="22"/>
      <c r="BT93" s="22"/>
      <c r="BU93" s="62"/>
      <c r="BV93" s="63"/>
      <c r="BW93" s="62"/>
      <c r="BX93" s="63"/>
      <c r="BY93" s="62"/>
      <c r="BZ93" s="63"/>
      <c r="CA93" s="62"/>
      <c r="CB93" s="63"/>
      <c r="CC93" s="62"/>
      <c r="CD93" s="63"/>
      <c r="CE93" s="22"/>
      <c r="CF93" s="22"/>
      <c r="CG93" s="43"/>
      <c r="CH93" s="53"/>
      <c r="CI93" s="25"/>
      <c r="CJ93" s="22"/>
      <c r="CK93" s="22"/>
      <c r="CL93" s="62"/>
      <c r="CM93" s="63"/>
      <c r="CN93" s="62"/>
      <c r="CO93" s="63"/>
      <c r="CP93" s="62"/>
      <c r="CQ93" s="63"/>
      <c r="CR93" s="62"/>
      <c r="CS93" s="63"/>
      <c r="CT93" s="62"/>
      <c r="CU93" s="63"/>
      <c r="CV93" s="22"/>
      <c r="CW93" s="22"/>
      <c r="CX93" s="43"/>
      <c r="CY93" s="53"/>
      <c r="CZ93" s="25"/>
      <c r="DA93" s="22"/>
      <c r="DB93" s="22"/>
      <c r="DC93" s="62"/>
      <c r="DD93" s="63"/>
      <c r="DE93" s="62"/>
      <c r="DF93" s="63"/>
      <c r="DG93" s="62"/>
      <c r="DH93" s="63"/>
      <c r="DI93" s="62"/>
      <c r="DJ93" s="63"/>
      <c r="DK93" s="62"/>
      <c r="DL93" s="63"/>
      <c r="DM93" s="22"/>
      <c r="DN93" s="22"/>
      <c r="DO93" s="43"/>
      <c r="DP93" s="53"/>
      <c r="DQ93" s="25"/>
      <c r="DR93" s="22"/>
      <c r="DS93" s="22"/>
      <c r="DT93" s="62"/>
      <c r="DU93" s="63"/>
      <c r="DV93" s="62"/>
      <c r="DW93" s="63"/>
      <c r="DX93" s="62"/>
      <c r="DY93" s="63"/>
      <c r="DZ93" s="62"/>
      <c r="EA93" s="63"/>
      <c r="EB93" s="62"/>
      <c r="EC93" s="63"/>
      <c r="ED93" s="22"/>
      <c r="EE93" s="22"/>
      <c r="EF93" s="43"/>
    </row>
    <row r="94" spans="2:136" ht="18" customHeight="1" x14ac:dyDescent="0.5">
      <c r="B94" s="25"/>
      <c r="C94" s="22"/>
      <c r="D94" s="22"/>
      <c r="E94" s="64"/>
      <c r="F94" s="65"/>
      <c r="G94" s="64"/>
      <c r="H94" s="65"/>
      <c r="I94" s="64"/>
      <c r="J94" s="65"/>
      <c r="K94" s="64"/>
      <c r="L94" s="65"/>
      <c r="M94" s="64"/>
      <c r="N94" s="65"/>
      <c r="O94" s="22"/>
      <c r="P94" s="22"/>
      <c r="Q94" s="43"/>
      <c r="R94" s="21"/>
      <c r="S94" s="25"/>
      <c r="T94" s="22"/>
      <c r="U94" s="22"/>
      <c r="V94" s="64"/>
      <c r="W94" s="65"/>
      <c r="X94" s="64"/>
      <c r="Y94" s="65"/>
      <c r="Z94" s="64"/>
      <c r="AA94" s="65"/>
      <c r="AB94" s="64"/>
      <c r="AC94" s="65"/>
      <c r="AD94" s="64"/>
      <c r="AE94" s="65"/>
      <c r="AF94" s="22"/>
      <c r="AG94" s="22"/>
      <c r="AH94" s="43"/>
      <c r="AI94" s="53"/>
      <c r="AJ94" s="25"/>
      <c r="AK94" s="22"/>
      <c r="AL94" s="22"/>
      <c r="AM94" s="64"/>
      <c r="AN94" s="65"/>
      <c r="AO94" s="64"/>
      <c r="AP94" s="65"/>
      <c r="AQ94" s="64"/>
      <c r="AR94" s="65"/>
      <c r="AS94" s="64"/>
      <c r="AT94" s="65"/>
      <c r="AU94" s="64"/>
      <c r="AV94" s="65"/>
      <c r="AW94" s="22"/>
      <c r="AX94" s="22"/>
      <c r="AY94" s="43"/>
      <c r="AZ94" s="53"/>
      <c r="BA94" s="25"/>
      <c r="BB94" s="22"/>
      <c r="BC94" s="22"/>
      <c r="BD94" s="64"/>
      <c r="BE94" s="65"/>
      <c r="BF94" s="64"/>
      <c r="BG94" s="65"/>
      <c r="BH94" s="64"/>
      <c r="BI94" s="65"/>
      <c r="BJ94" s="64"/>
      <c r="BK94" s="65"/>
      <c r="BL94" s="64"/>
      <c r="BM94" s="65"/>
      <c r="BN94" s="22"/>
      <c r="BO94" s="22"/>
      <c r="BP94" s="43"/>
      <c r="BQ94" s="53"/>
      <c r="BR94" s="25"/>
      <c r="BS94" s="22"/>
      <c r="BT94" s="22"/>
      <c r="BU94" s="64"/>
      <c r="BV94" s="65"/>
      <c r="BW94" s="64"/>
      <c r="BX94" s="65"/>
      <c r="BY94" s="64"/>
      <c r="BZ94" s="65"/>
      <c r="CA94" s="64"/>
      <c r="CB94" s="65"/>
      <c r="CC94" s="64"/>
      <c r="CD94" s="65"/>
      <c r="CE94" s="22"/>
      <c r="CF94" s="22"/>
      <c r="CG94" s="43"/>
      <c r="CH94" s="53"/>
      <c r="CI94" s="25"/>
      <c r="CJ94" s="22"/>
      <c r="CK94" s="22"/>
      <c r="CL94" s="64"/>
      <c r="CM94" s="65"/>
      <c r="CN94" s="64"/>
      <c r="CO94" s="65"/>
      <c r="CP94" s="64"/>
      <c r="CQ94" s="65"/>
      <c r="CR94" s="64"/>
      <c r="CS94" s="65"/>
      <c r="CT94" s="64"/>
      <c r="CU94" s="65"/>
      <c r="CV94" s="22"/>
      <c r="CW94" s="22"/>
      <c r="CX94" s="43"/>
      <c r="CY94" s="53"/>
      <c r="CZ94" s="25"/>
      <c r="DA94" s="22"/>
      <c r="DB94" s="22"/>
      <c r="DC94" s="64"/>
      <c r="DD94" s="65"/>
      <c r="DE94" s="64"/>
      <c r="DF94" s="65"/>
      <c r="DG94" s="64"/>
      <c r="DH94" s="65"/>
      <c r="DI94" s="64"/>
      <c r="DJ94" s="65"/>
      <c r="DK94" s="64"/>
      <c r="DL94" s="65"/>
      <c r="DM94" s="22"/>
      <c r="DN94" s="22"/>
      <c r="DO94" s="43"/>
      <c r="DP94" s="53"/>
      <c r="DQ94" s="25"/>
      <c r="DR94" s="22"/>
      <c r="DS94" s="22"/>
      <c r="DT94" s="64"/>
      <c r="DU94" s="65"/>
      <c r="DV94" s="64"/>
      <c r="DW94" s="65"/>
      <c r="DX94" s="64"/>
      <c r="DY94" s="65"/>
      <c r="DZ94" s="64"/>
      <c r="EA94" s="65"/>
      <c r="EB94" s="64"/>
      <c r="EC94" s="65"/>
      <c r="ED94" s="22"/>
      <c r="EE94" s="22"/>
      <c r="EF94" s="43"/>
    </row>
    <row r="95" spans="2:136" ht="18" customHeight="1" x14ac:dyDescent="0.5">
      <c r="B95" s="25"/>
      <c r="C95" s="21"/>
      <c r="D95" s="22"/>
      <c r="E95" s="22"/>
      <c r="F95" s="62"/>
      <c r="G95" s="63"/>
      <c r="H95" s="62"/>
      <c r="I95" s="63"/>
      <c r="J95" s="62"/>
      <c r="K95" s="63"/>
      <c r="L95" s="62"/>
      <c r="M95" s="63"/>
      <c r="N95" s="22"/>
      <c r="O95" s="22"/>
      <c r="P95" s="21"/>
      <c r="Q95" s="43"/>
      <c r="R95" s="21"/>
      <c r="S95" s="25"/>
      <c r="T95" s="21"/>
      <c r="U95" s="22"/>
      <c r="V95" s="22"/>
      <c r="W95" s="62"/>
      <c r="X95" s="63"/>
      <c r="Y95" s="62"/>
      <c r="Z95" s="63"/>
      <c r="AA95" s="62"/>
      <c r="AB95" s="63"/>
      <c r="AC95" s="62"/>
      <c r="AD95" s="63"/>
      <c r="AE95" s="22"/>
      <c r="AF95" s="22"/>
      <c r="AG95" s="21"/>
      <c r="AH95" s="43"/>
      <c r="AI95" s="53"/>
      <c r="AJ95" s="25"/>
      <c r="AK95" s="21"/>
      <c r="AL95" s="22"/>
      <c r="AM95" s="22"/>
      <c r="AN95" s="62"/>
      <c r="AO95" s="63"/>
      <c r="AP95" s="62"/>
      <c r="AQ95" s="63"/>
      <c r="AR95" s="62"/>
      <c r="AS95" s="63"/>
      <c r="AT95" s="62"/>
      <c r="AU95" s="63"/>
      <c r="AV95" s="22"/>
      <c r="AW95" s="22"/>
      <c r="AX95" s="21"/>
      <c r="AY95" s="43"/>
      <c r="AZ95" s="53"/>
      <c r="BA95" s="25"/>
      <c r="BB95" s="21"/>
      <c r="BC95" s="22"/>
      <c r="BD95" s="22"/>
      <c r="BE95" s="62"/>
      <c r="BF95" s="63"/>
      <c r="BG95" s="62"/>
      <c r="BH95" s="63"/>
      <c r="BI95" s="62"/>
      <c r="BJ95" s="63"/>
      <c r="BK95" s="62"/>
      <c r="BL95" s="63"/>
      <c r="BM95" s="22"/>
      <c r="BN95" s="22"/>
      <c r="BO95" s="21"/>
      <c r="BP95" s="43"/>
      <c r="BQ95" s="53"/>
      <c r="BR95" s="25"/>
      <c r="BS95" s="21"/>
      <c r="BT95" s="22"/>
      <c r="BU95" s="22"/>
      <c r="BV95" s="62"/>
      <c r="BW95" s="63"/>
      <c r="BX95" s="62"/>
      <c r="BY95" s="63"/>
      <c r="BZ95" s="62"/>
      <c r="CA95" s="63"/>
      <c r="CB95" s="62"/>
      <c r="CC95" s="63"/>
      <c r="CD95" s="22"/>
      <c r="CE95" s="22"/>
      <c r="CF95" s="21"/>
      <c r="CG95" s="43"/>
      <c r="CH95" s="53"/>
      <c r="CI95" s="25"/>
      <c r="CJ95" s="21"/>
      <c r="CK95" s="22"/>
      <c r="CL95" s="22"/>
      <c r="CM95" s="62"/>
      <c r="CN95" s="63"/>
      <c r="CO95" s="62"/>
      <c r="CP95" s="63"/>
      <c r="CQ95" s="62"/>
      <c r="CR95" s="63"/>
      <c r="CS95" s="62"/>
      <c r="CT95" s="63"/>
      <c r="CU95" s="22"/>
      <c r="CV95" s="22"/>
      <c r="CW95" s="21"/>
      <c r="CX95" s="43"/>
      <c r="CY95" s="53"/>
      <c r="CZ95" s="25"/>
      <c r="DA95" s="21"/>
      <c r="DB95" s="22"/>
      <c r="DC95" s="22"/>
      <c r="DD95" s="62"/>
      <c r="DE95" s="63"/>
      <c r="DF95" s="62"/>
      <c r="DG95" s="63"/>
      <c r="DH95" s="62"/>
      <c r="DI95" s="63"/>
      <c r="DJ95" s="62"/>
      <c r="DK95" s="63"/>
      <c r="DL95" s="22"/>
      <c r="DM95" s="22"/>
      <c r="DN95" s="21"/>
      <c r="DO95" s="43"/>
      <c r="DP95" s="53"/>
      <c r="DQ95" s="25"/>
      <c r="DR95" s="21"/>
      <c r="DS95" s="22"/>
      <c r="DT95" s="22"/>
      <c r="DU95" s="62"/>
      <c r="DV95" s="63"/>
      <c r="DW95" s="62"/>
      <c r="DX95" s="63"/>
      <c r="DY95" s="62"/>
      <c r="DZ95" s="63"/>
      <c r="EA95" s="62"/>
      <c r="EB95" s="63"/>
      <c r="EC95" s="22"/>
      <c r="ED95" s="22"/>
      <c r="EE95" s="21"/>
      <c r="EF95" s="43"/>
    </row>
    <row r="96" spans="2:136" ht="18" customHeight="1" x14ac:dyDescent="0.5">
      <c r="B96" s="25"/>
      <c r="C96" s="21"/>
      <c r="D96" s="22"/>
      <c r="E96" s="22"/>
      <c r="F96" s="64"/>
      <c r="G96" s="65"/>
      <c r="H96" s="64"/>
      <c r="I96" s="65"/>
      <c r="J96" s="64"/>
      <c r="K96" s="65"/>
      <c r="L96" s="64"/>
      <c r="M96" s="65"/>
      <c r="N96" s="22"/>
      <c r="O96" s="22"/>
      <c r="P96" s="21"/>
      <c r="Q96" s="43"/>
      <c r="R96" s="21"/>
      <c r="S96" s="25"/>
      <c r="T96" s="21"/>
      <c r="U96" s="22"/>
      <c r="V96" s="22"/>
      <c r="W96" s="64"/>
      <c r="X96" s="65"/>
      <c r="Y96" s="64"/>
      <c r="Z96" s="65"/>
      <c r="AA96" s="64"/>
      <c r="AB96" s="65"/>
      <c r="AC96" s="64"/>
      <c r="AD96" s="65"/>
      <c r="AE96" s="22"/>
      <c r="AF96" s="22"/>
      <c r="AG96" s="21"/>
      <c r="AH96" s="43"/>
      <c r="AI96" s="53"/>
      <c r="AJ96" s="25"/>
      <c r="AK96" s="21"/>
      <c r="AL96" s="22"/>
      <c r="AM96" s="22"/>
      <c r="AN96" s="64"/>
      <c r="AO96" s="65"/>
      <c r="AP96" s="64"/>
      <c r="AQ96" s="65"/>
      <c r="AR96" s="64"/>
      <c r="AS96" s="65"/>
      <c r="AT96" s="64"/>
      <c r="AU96" s="65"/>
      <c r="AV96" s="22"/>
      <c r="AW96" s="22"/>
      <c r="AX96" s="21"/>
      <c r="AY96" s="43"/>
      <c r="AZ96" s="53"/>
      <c r="BA96" s="25"/>
      <c r="BB96" s="21"/>
      <c r="BC96" s="22"/>
      <c r="BD96" s="22"/>
      <c r="BE96" s="64"/>
      <c r="BF96" s="65"/>
      <c r="BG96" s="64"/>
      <c r="BH96" s="65"/>
      <c r="BI96" s="64"/>
      <c r="BJ96" s="65"/>
      <c r="BK96" s="64"/>
      <c r="BL96" s="65"/>
      <c r="BM96" s="22"/>
      <c r="BN96" s="22"/>
      <c r="BO96" s="21"/>
      <c r="BP96" s="43"/>
      <c r="BQ96" s="53"/>
      <c r="BR96" s="25"/>
      <c r="BS96" s="21"/>
      <c r="BT96" s="22"/>
      <c r="BU96" s="22"/>
      <c r="BV96" s="64"/>
      <c r="BW96" s="65"/>
      <c r="BX96" s="64"/>
      <c r="BY96" s="65"/>
      <c r="BZ96" s="64"/>
      <c r="CA96" s="65"/>
      <c r="CB96" s="64"/>
      <c r="CC96" s="65"/>
      <c r="CD96" s="22"/>
      <c r="CE96" s="22"/>
      <c r="CF96" s="21"/>
      <c r="CG96" s="43"/>
      <c r="CH96" s="53"/>
      <c r="CI96" s="25"/>
      <c r="CJ96" s="21"/>
      <c r="CK96" s="22"/>
      <c r="CL96" s="22"/>
      <c r="CM96" s="64"/>
      <c r="CN96" s="65"/>
      <c r="CO96" s="64"/>
      <c r="CP96" s="65"/>
      <c r="CQ96" s="64"/>
      <c r="CR96" s="65"/>
      <c r="CS96" s="64"/>
      <c r="CT96" s="65"/>
      <c r="CU96" s="22"/>
      <c r="CV96" s="22"/>
      <c r="CW96" s="21"/>
      <c r="CX96" s="43"/>
      <c r="CY96" s="53"/>
      <c r="CZ96" s="25"/>
      <c r="DA96" s="21"/>
      <c r="DB96" s="22"/>
      <c r="DC96" s="22"/>
      <c r="DD96" s="64"/>
      <c r="DE96" s="65"/>
      <c r="DF96" s="64"/>
      <c r="DG96" s="65"/>
      <c r="DH96" s="64"/>
      <c r="DI96" s="65"/>
      <c r="DJ96" s="64"/>
      <c r="DK96" s="65"/>
      <c r="DL96" s="22"/>
      <c r="DM96" s="22"/>
      <c r="DN96" s="21"/>
      <c r="DO96" s="43"/>
      <c r="DP96" s="53"/>
      <c r="DQ96" s="25"/>
      <c r="DR96" s="21"/>
      <c r="DS96" s="22"/>
      <c r="DT96" s="22"/>
      <c r="DU96" s="64"/>
      <c r="DV96" s="65"/>
      <c r="DW96" s="64"/>
      <c r="DX96" s="65"/>
      <c r="DY96" s="64"/>
      <c r="DZ96" s="65"/>
      <c r="EA96" s="64"/>
      <c r="EB96" s="65"/>
      <c r="EC96" s="22"/>
      <c r="ED96" s="22"/>
      <c r="EE96" s="21"/>
      <c r="EF96" s="43"/>
    </row>
    <row r="97" spans="2:136" ht="18" customHeight="1" x14ac:dyDescent="0.5"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4"/>
      <c r="R97" s="54"/>
      <c r="S97" s="3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4"/>
      <c r="AI97" s="53"/>
      <c r="AJ97" s="3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4"/>
      <c r="AZ97" s="53"/>
      <c r="BA97" s="3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4"/>
      <c r="BQ97" s="53"/>
      <c r="BR97" s="3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4"/>
      <c r="CH97" s="53"/>
      <c r="CI97" s="3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4"/>
      <c r="CY97" s="53"/>
      <c r="CZ97" s="3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4"/>
      <c r="DP97" s="53"/>
      <c r="DQ97" s="3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4"/>
    </row>
    <row r="98" spans="2:136" ht="18" customHeight="1" x14ac:dyDescent="0.5">
      <c r="B98" s="45"/>
      <c r="C98" s="96" t="str">
        <f ca="1">GetHexStr(C83:P96)</f>
        <v>(-1,-2,3,);(-2,0,3,);(0,0,3,);(-1,2,3,);(1,2,3,);</v>
      </c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8"/>
      <c r="Q98" s="44"/>
      <c r="R98" s="54"/>
      <c r="S98" s="45"/>
      <c r="T98" s="96" t="str">
        <f ca="1">GetHexStr(T83:AG96)</f>
        <v>(-1,-2,3,);(1,-2,3,);(-2,0,3,);(0,0,3,);(-1,2,3,);</v>
      </c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8"/>
      <c r="AH98" s="44"/>
      <c r="AI98" s="53"/>
      <c r="AJ98" s="45"/>
      <c r="AK98" s="96" t="str">
        <f ca="1">GetHexStr(AK83:AX96)</f>
        <v>(-1,-2,3,);(1,-2,3,);(-2,0,3,);(0,0,3,);(2,0,3,);</v>
      </c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8"/>
      <c r="AY98" s="44"/>
      <c r="AZ98" s="53"/>
      <c r="BA98" s="45"/>
      <c r="BB98" s="96" t="str">
        <f ca="1">GetHexStr(BB83:BO96)</f>
        <v>(-1,-2,3,);(1,-2,3,);(0,0,3,);(2,0,3,);(1,2,3,);</v>
      </c>
      <c r="BC98" s="97"/>
      <c r="BD98" s="97"/>
      <c r="BE98" s="97"/>
      <c r="BF98" s="97"/>
      <c r="BG98" s="97"/>
      <c r="BH98" s="97"/>
      <c r="BI98" s="97"/>
      <c r="BJ98" s="97"/>
      <c r="BK98" s="97"/>
      <c r="BL98" s="97"/>
      <c r="BM98" s="97"/>
      <c r="BN98" s="97"/>
      <c r="BO98" s="98"/>
      <c r="BP98" s="44"/>
      <c r="BQ98" s="53"/>
      <c r="BR98" s="45"/>
      <c r="BS98" s="96" t="str">
        <f ca="1">GetHexStr(BS83:CF96)</f>
        <v>(0,0,5,);(2,0,5,);</v>
      </c>
      <c r="BT98" s="97"/>
      <c r="BU98" s="97"/>
      <c r="BV98" s="97"/>
      <c r="BW98" s="97"/>
      <c r="BX98" s="97"/>
      <c r="BY98" s="97"/>
      <c r="BZ98" s="97"/>
      <c r="CA98" s="97"/>
      <c r="CB98" s="97"/>
      <c r="CC98" s="97"/>
      <c r="CD98" s="97"/>
      <c r="CE98" s="97"/>
      <c r="CF98" s="98"/>
      <c r="CG98" s="44"/>
      <c r="CH98" s="53"/>
      <c r="CI98" s="45"/>
      <c r="CJ98" s="96" t="str">
        <f ca="1">GetHexStr(CJ83:CW96)</f>
        <v>(1,-2,5,);(0,0,5,);</v>
      </c>
      <c r="CK98" s="97"/>
      <c r="CL98" s="97"/>
      <c r="CM98" s="97"/>
      <c r="CN98" s="97"/>
      <c r="CO98" s="97"/>
      <c r="CP98" s="97"/>
      <c r="CQ98" s="97"/>
      <c r="CR98" s="97"/>
      <c r="CS98" s="97"/>
      <c r="CT98" s="97"/>
      <c r="CU98" s="97"/>
      <c r="CV98" s="97"/>
      <c r="CW98" s="98"/>
      <c r="CX98" s="44"/>
      <c r="CY98" s="53"/>
      <c r="CZ98" s="45"/>
      <c r="DA98" s="96" t="str">
        <f ca="1">GetHexStr(DA83:DN96)</f>
        <v>(-1,-2,5,);(0,0,5,);</v>
      </c>
      <c r="DB98" s="97"/>
      <c r="DC98" s="97"/>
      <c r="DD98" s="97"/>
      <c r="DE98" s="97"/>
      <c r="DF98" s="97"/>
      <c r="DG98" s="97"/>
      <c r="DH98" s="97"/>
      <c r="DI98" s="97"/>
      <c r="DJ98" s="97"/>
      <c r="DK98" s="97"/>
      <c r="DL98" s="97"/>
      <c r="DM98" s="97"/>
      <c r="DN98" s="98"/>
      <c r="DO98" s="44"/>
      <c r="DP98" s="53"/>
      <c r="DQ98" s="45"/>
      <c r="DR98" s="96" t="str">
        <f ca="1">GetHexStr(DR83:EE96)</f>
        <v>(-2,0,2,);(0,0,2,);(2,0,2,);</v>
      </c>
      <c r="DS98" s="97"/>
      <c r="DT98" s="97"/>
      <c r="DU98" s="97"/>
      <c r="DV98" s="97"/>
      <c r="DW98" s="97"/>
      <c r="DX98" s="97"/>
      <c r="DY98" s="97"/>
      <c r="DZ98" s="97"/>
      <c r="EA98" s="97"/>
      <c r="EB98" s="97"/>
      <c r="EC98" s="97"/>
      <c r="ED98" s="97"/>
      <c r="EE98" s="98"/>
      <c r="EF98" s="44"/>
    </row>
    <row r="99" spans="2:136" ht="18" customHeight="1" x14ac:dyDescent="0.5">
      <c r="B99" s="45"/>
      <c r="C99" s="99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1"/>
      <c r="Q99" s="44"/>
      <c r="R99" s="54"/>
      <c r="S99" s="45"/>
      <c r="T99" s="99"/>
      <c r="U99" s="100"/>
      <c r="V99" s="100"/>
      <c r="W99" s="100"/>
      <c r="X99" s="100"/>
      <c r="Y99" s="100"/>
      <c r="Z99" s="100"/>
      <c r="AA99" s="100"/>
      <c r="AB99" s="100"/>
      <c r="AC99" s="100"/>
      <c r="AD99" s="100"/>
      <c r="AE99" s="100"/>
      <c r="AF99" s="100"/>
      <c r="AG99" s="101"/>
      <c r="AH99" s="44"/>
      <c r="AI99" s="53"/>
      <c r="AJ99" s="45"/>
      <c r="AK99" s="99"/>
      <c r="AL99" s="100"/>
      <c r="AM99" s="100"/>
      <c r="AN99" s="100"/>
      <c r="AO99" s="100"/>
      <c r="AP99" s="100"/>
      <c r="AQ99" s="100"/>
      <c r="AR99" s="100"/>
      <c r="AS99" s="100"/>
      <c r="AT99" s="100"/>
      <c r="AU99" s="100"/>
      <c r="AV99" s="100"/>
      <c r="AW99" s="100"/>
      <c r="AX99" s="101"/>
      <c r="AY99" s="44"/>
      <c r="AZ99" s="53"/>
      <c r="BA99" s="45"/>
      <c r="BB99" s="99"/>
      <c r="BC99" s="100"/>
      <c r="BD99" s="100"/>
      <c r="BE99" s="100"/>
      <c r="BF99" s="100"/>
      <c r="BG99" s="100"/>
      <c r="BH99" s="100"/>
      <c r="BI99" s="100"/>
      <c r="BJ99" s="100"/>
      <c r="BK99" s="100"/>
      <c r="BL99" s="100"/>
      <c r="BM99" s="100"/>
      <c r="BN99" s="100"/>
      <c r="BO99" s="101"/>
      <c r="BP99" s="44"/>
      <c r="BQ99" s="53"/>
      <c r="BR99" s="45"/>
      <c r="BS99" s="99"/>
      <c r="BT99" s="100"/>
      <c r="BU99" s="100"/>
      <c r="BV99" s="100"/>
      <c r="BW99" s="100"/>
      <c r="BX99" s="100"/>
      <c r="BY99" s="100"/>
      <c r="BZ99" s="100"/>
      <c r="CA99" s="100"/>
      <c r="CB99" s="100"/>
      <c r="CC99" s="100"/>
      <c r="CD99" s="100"/>
      <c r="CE99" s="100"/>
      <c r="CF99" s="101"/>
      <c r="CG99" s="44"/>
      <c r="CH99" s="53"/>
      <c r="CI99" s="45"/>
      <c r="CJ99" s="99"/>
      <c r="CK99" s="100"/>
      <c r="CL99" s="100"/>
      <c r="CM99" s="100"/>
      <c r="CN99" s="100"/>
      <c r="CO99" s="100"/>
      <c r="CP99" s="100"/>
      <c r="CQ99" s="100"/>
      <c r="CR99" s="100"/>
      <c r="CS99" s="100"/>
      <c r="CT99" s="100"/>
      <c r="CU99" s="100"/>
      <c r="CV99" s="100"/>
      <c r="CW99" s="101"/>
      <c r="CX99" s="44"/>
      <c r="CY99" s="53"/>
      <c r="CZ99" s="45"/>
      <c r="DA99" s="99"/>
      <c r="DB99" s="100"/>
      <c r="DC99" s="100"/>
      <c r="DD99" s="100"/>
      <c r="DE99" s="100"/>
      <c r="DF99" s="100"/>
      <c r="DG99" s="100"/>
      <c r="DH99" s="100"/>
      <c r="DI99" s="100"/>
      <c r="DJ99" s="100"/>
      <c r="DK99" s="100"/>
      <c r="DL99" s="100"/>
      <c r="DM99" s="100"/>
      <c r="DN99" s="101"/>
      <c r="DO99" s="44"/>
      <c r="DP99" s="53"/>
      <c r="DQ99" s="45"/>
      <c r="DR99" s="99"/>
      <c r="DS99" s="100"/>
      <c r="DT99" s="100"/>
      <c r="DU99" s="100"/>
      <c r="DV99" s="100"/>
      <c r="DW99" s="100"/>
      <c r="DX99" s="100"/>
      <c r="DY99" s="100"/>
      <c r="DZ99" s="100"/>
      <c r="EA99" s="100"/>
      <c r="EB99" s="100"/>
      <c r="EC99" s="100"/>
      <c r="ED99" s="100"/>
      <c r="EE99" s="101"/>
      <c r="EF99" s="44"/>
    </row>
    <row r="100" spans="2:136" ht="18" customHeight="1" thickBot="1" x14ac:dyDescent="0.55000000000000004">
      <c r="B100" s="46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8"/>
      <c r="R100" s="54"/>
      <c r="S100" s="46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8"/>
      <c r="AI100" s="53"/>
      <c r="AJ100" s="46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8"/>
      <c r="AZ100" s="53"/>
      <c r="BA100" s="46"/>
      <c r="BB100" s="47"/>
      <c r="BC100" s="47"/>
      <c r="BD100" s="47"/>
      <c r="BE100" s="47"/>
      <c r="BF100" s="47"/>
      <c r="BG100" s="47"/>
      <c r="BH100" s="47"/>
      <c r="BI100" s="47"/>
      <c r="BJ100" s="47"/>
      <c r="BK100" s="47"/>
      <c r="BL100" s="47"/>
      <c r="BM100" s="47"/>
      <c r="BN100" s="47"/>
      <c r="BO100" s="47"/>
      <c r="BP100" s="48"/>
      <c r="BQ100" s="53"/>
      <c r="BR100" s="46"/>
      <c r="BS100" s="47"/>
      <c r="BT100" s="47"/>
      <c r="BU100" s="47"/>
      <c r="BV100" s="47"/>
      <c r="BW100" s="47"/>
      <c r="BX100" s="47"/>
      <c r="BY100" s="47"/>
      <c r="BZ100" s="47"/>
      <c r="CA100" s="47"/>
      <c r="CB100" s="47"/>
      <c r="CC100" s="47"/>
      <c r="CD100" s="47"/>
      <c r="CE100" s="47"/>
      <c r="CF100" s="47"/>
      <c r="CG100" s="48"/>
      <c r="CH100" s="53"/>
      <c r="CI100" s="46"/>
      <c r="CJ100" s="47"/>
      <c r="CK100" s="47"/>
      <c r="CL100" s="47"/>
      <c r="CM100" s="47"/>
      <c r="CN100" s="47"/>
      <c r="CO100" s="47"/>
      <c r="CP100" s="47"/>
      <c r="CQ100" s="47"/>
      <c r="CR100" s="47"/>
      <c r="CS100" s="47"/>
      <c r="CT100" s="47"/>
      <c r="CU100" s="47"/>
      <c r="CV100" s="47"/>
      <c r="CW100" s="47"/>
      <c r="CX100" s="48"/>
      <c r="CY100" s="53"/>
      <c r="CZ100" s="46"/>
      <c r="DA100" s="47"/>
      <c r="DB100" s="47"/>
      <c r="DC100" s="47"/>
      <c r="DD100" s="47"/>
      <c r="DE100" s="47"/>
      <c r="DF100" s="47"/>
      <c r="DG100" s="47"/>
      <c r="DH100" s="47"/>
      <c r="DI100" s="47"/>
      <c r="DJ100" s="47"/>
      <c r="DK100" s="47"/>
      <c r="DL100" s="47"/>
      <c r="DM100" s="47"/>
      <c r="DN100" s="47"/>
      <c r="DO100" s="48"/>
      <c r="DP100" s="53"/>
      <c r="DQ100" s="46"/>
      <c r="DR100" s="47"/>
      <c r="DS100" s="47"/>
      <c r="DT100" s="47"/>
      <c r="DU100" s="47"/>
      <c r="DV100" s="47"/>
      <c r="DW100" s="47"/>
      <c r="DX100" s="47"/>
      <c r="DY100" s="47"/>
      <c r="DZ100" s="47"/>
      <c r="EA100" s="47"/>
      <c r="EB100" s="47"/>
      <c r="EC100" s="47"/>
      <c r="ED100" s="47"/>
      <c r="EE100" s="47"/>
      <c r="EF100" s="48"/>
    </row>
    <row r="101" spans="2:136" ht="18" customHeight="1" thickBot="1" x14ac:dyDescent="0.55000000000000004"/>
    <row r="102" spans="2:136" ht="18" customHeight="1" x14ac:dyDescent="0.5">
      <c r="B102" s="108">
        <v>5</v>
      </c>
      <c r="C102" s="10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42"/>
      <c r="R102" s="21"/>
      <c r="S102" s="108">
        <v>5</v>
      </c>
      <c r="T102" s="10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42"/>
      <c r="AI102" s="53"/>
      <c r="AJ102" s="108">
        <v>5</v>
      </c>
      <c r="AK102" s="10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42"/>
      <c r="AZ102" s="53"/>
      <c r="BA102" s="108">
        <v>5</v>
      </c>
      <c r="BB102" s="10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42"/>
      <c r="BQ102" s="53"/>
      <c r="BR102" s="108">
        <v>5</v>
      </c>
      <c r="BS102" s="10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42"/>
      <c r="CH102" s="53"/>
      <c r="CI102" s="108">
        <v>5</v>
      </c>
      <c r="CJ102" s="10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42"/>
      <c r="CY102" s="53"/>
      <c r="CZ102" s="108">
        <v>5</v>
      </c>
      <c r="DA102" s="103"/>
      <c r="DB102" s="23"/>
      <c r="DC102" s="23"/>
      <c r="DD102" s="23"/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  <c r="DO102" s="42"/>
      <c r="DP102" s="53"/>
      <c r="DQ102" s="108">
        <v>5</v>
      </c>
      <c r="DR102" s="103"/>
      <c r="DS102" s="23"/>
      <c r="DT102" s="23"/>
      <c r="DU102" s="23"/>
      <c r="DV102" s="23"/>
      <c r="DW102" s="23"/>
      <c r="DX102" s="23"/>
      <c r="DY102" s="23"/>
      <c r="DZ102" s="23"/>
      <c r="EA102" s="23"/>
      <c r="EB102" s="23"/>
      <c r="EC102" s="23"/>
      <c r="ED102" s="23"/>
      <c r="EE102" s="23"/>
      <c r="EF102" s="42"/>
    </row>
    <row r="103" spans="2:136" ht="18" customHeight="1" thickBot="1" x14ac:dyDescent="0.55000000000000004">
      <c r="B103" s="104"/>
      <c r="C103" s="105"/>
      <c r="D103" s="22"/>
      <c r="E103" s="22"/>
      <c r="F103" s="62"/>
      <c r="G103" s="63"/>
      <c r="H103" s="62"/>
      <c r="I103" s="63"/>
      <c r="J103" s="62"/>
      <c r="K103" s="63"/>
      <c r="L103" s="62"/>
      <c r="M103" s="63"/>
      <c r="N103" s="22"/>
      <c r="O103" s="22"/>
      <c r="P103" s="21"/>
      <c r="Q103" s="43"/>
      <c r="R103" s="21"/>
      <c r="S103" s="104"/>
      <c r="T103" s="105"/>
      <c r="U103" s="22"/>
      <c r="V103" s="22"/>
      <c r="W103" s="62"/>
      <c r="X103" s="63"/>
      <c r="Y103" s="62"/>
      <c r="Z103" s="63"/>
      <c r="AA103" s="62"/>
      <c r="AB103" s="63"/>
      <c r="AC103" s="62"/>
      <c r="AD103" s="63"/>
      <c r="AE103" s="22"/>
      <c r="AF103" s="22"/>
      <c r="AG103" s="21"/>
      <c r="AH103" s="43"/>
      <c r="AI103" s="53"/>
      <c r="AJ103" s="104"/>
      <c r="AK103" s="105"/>
      <c r="AL103" s="22"/>
      <c r="AM103" s="22"/>
      <c r="AN103" s="62"/>
      <c r="AO103" s="63"/>
      <c r="AP103" s="62"/>
      <c r="AQ103" s="63"/>
      <c r="AR103" s="62"/>
      <c r="AS103" s="63"/>
      <c r="AT103" s="62"/>
      <c r="AU103" s="63"/>
      <c r="AV103" s="22"/>
      <c r="AW103" s="22"/>
      <c r="AX103" s="21"/>
      <c r="AY103" s="43"/>
      <c r="AZ103" s="53"/>
      <c r="BA103" s="104"/>
      <c r="BB103" s="105"/>
      <c r="BC103" s="22"/>
      <c r="BD103" s="22"/>
      <c r="BE103" s="62"/>
      <c r="BF103" s="63"/>
      <c r="BG103" s="62"/>
      <c r="BH103" s="63"/>
      <c r="BI103" s="62"/>
      <c r="BJ103" s="63"/>
      <c r="BK103" s="62"/>
      <c r="BL103" s="63"/>
      <c r="BM103" s="22"/>
      <c r="BN103" s="22"/>
      <c r="BO103" s="21"/>
      <c r="BP103" s="43"/>
      <c r="BQ103" s="53"/>
      <c r="BR103" s="104"/>
      <c r="BS103" s="105"/>
      <c r="BT103" s="22"/>
      <c r="BU103" s="22"/>
      <c r="BV103" s="62"/>
      <c r="BW103" s="63"/>
      <c r="BX103" s="62"/>
      <c r="BY103" s="63"/>
      <c r="BZ103" s="62"/>
      <c r="CA103" s="63"/>
      <c r="CB103" s="62"/>
      <c r="CC103" s="63"/>
      <c r="CD103" s="22"/>
      <c r="CE103" s="22"/>
      <c r="CF103" s="21"/>
      <c r="CG103" s="43"/>
      <c r="CH103" s="53"/>
      <c r="CI103" s="104"/>
      <c r="CJ103" s="105"/>
      <c r="CK103" s="22"/>
      <c r="CL103" s="22"/>
      <c r="CM103" s="62"/>
      <c r="CN103" s="63"/>
      <c r="CO103" s="62"/>
      <c r="CP103" s="63"/>
      <c r="CQ103" s="62"/>
      <c r="CR103" s="63"/>
      <c r="CS103" s="62"/>
      <c r="CT103" s="63"/>
      <c r="CU103" s="22"/>
      <c r="CV103" s="22"/>
      <c r="CW103" s="21"/>
      <c r="CX103" s="43"/>
      <c r="CY103" s="53"/>
      <c r="CZ103" s="104"/>
      <c r="DA103" s="105"/>
      <c r="DB103" s="22"/>
      <c r="DC103" s="22"/>
      <c r="DD103" s="62"/>
      <c r="DE103" s="63"/>
      <c r="DF103" s="62"/>
      <c r="DG103" s="63"/>
      <c r="DH103" s="62"/>
      <c r="DI103" s="63"/>
      <c r="DJ103" s="62"/>
      <c r="DK103" s="63"/>
      <c r="DL103" s="22"/>
      <c r="DM103" s="22"/>
      <c r="DN103" s="21"/>
      <c r="DO103" s="43"/>
      <c r="DP103" s="53"/>
      <c r="DQ103" s="104"/>
      <c r="DR103" s="105"/>
      <c r="DS103" s="22"/>
      <c r="DT103" s="22"/>
      <c r="DU103" s="62"/>
      <c r="DV103" s="63"/>
      <c r="DW103" s="62"/>
      <c r="DX103" s="63"/>
      <c r="DY103" s="62"/>
      <c r="DZ103" s="63"/>
      <c r="EA103" s="62"/>
      <c r="EB103" s="63"/>
      <c r="EC103" s="22"/>
      <c r="ED103" s="22"/>
      <c r="EE103" s="21"/>
      <c r="EF103" s="43"/>
    </row>
    <row r="104" spans="2:136" ht="18" customHeight="1" x14ac:dyDescent="0.5">
      <c r="B104" s="25"/>
      <c r="C104" s="21"/>
      <c r="D104" s="22"/>
      <c r="E104" s="22"/>
      <c r="F104" s="64"/>
      <c r="G104" s="65"/>
      <c r="H104" s="64"/>
      <c r="I104" s="65"/>
      <c r="J104" s="64"/>
      <c r="K104" s="65"/>
      <c r="L104" s="64"/>
      <c r="M104" s="65"/>
      <c r="N104" s="22"/>
      <c r="O104" s="22"/>
      <c r="P104" s="21"/>
      <c r="Q104" s="43"/>
      <c r="R104" s="21"/>
      <c r="S104" s="25"/>
      <c r="T104" s="21"/>
      <c r="U104" s="22"/>
      <c r="V104" s="22"/>
      <c r="W104" s="64"/>
      <c r="X104" s="65"/>
      <c r="Y104" s="64"/>
      <c r="Z104" s="65"/>
      <c r="AA104" s="64"/>
      <c r="AB104" s="65"/>
      <c r="AC104" s="64"/>
      <c r="AD104" s="65"/>
      <c r="AE104" s="22"/>
      <c r="AF104" s="22"/>
      <c r="AG104" s="21"/>
      <c r="AH104" s="43"/>
      <c r="AI104" s="53"/>
      <c r="AJ104" s="25"/>
      <c r="AK104" s="21"/>
      <c r="AL104" s="22"/>
      <c r="AM104" s="22"/>
      <c r="AN104" s="64"/>
      <c r="AO104" s="65"/>
      <c r="AP104" s="64"/>
      <c r="AQ104" s="65"/>
      <c r="AR104" s="64"/>
      <c r="AS104" s="65"/>
      <c r="AT104" s="64"/>
      <c r="AU104" s="65"/>
      <c r="AV104" s="22"/>
      <c r="AW104" s="22"/>
      <c r="AX104" s="21"/>
      <c r="AY104" s="43"/>
      <c r="AZ104" s="53"/>
      <c r="BA104" s="25"/>
      <c r="BB104" s="21"/>
      <c r="BC104" s="22"/>
      <c r="BD104" s="22"/>
      <c r="BE104" s="64"/>
      <c r="BF104" s="65"/>
      <c r="BG104" s="64"/>
      <c r="BH104" s="65"/>
      <c r="BI104" s="64"/>
      <c r="BJ104" s="65"/>
      <c r="BK104" s="64"/>
      <c r="BL104" s="65"/>
      <c r="BM104" s="22"/>
      <c r="BN104" s="22"/>
      <c r="BO104" s="21"/>
      <c r="BP104" s="43"/>
      <c r="BQ104" s="53"/>
      <c r="BR104" s="25"/>
      <c r="BS104" s="21"/>
      <c r="BT104" s="22"/>
      <c r="BU104" s="22"/>
      <c r="BV104" s="64"/>
      <c r="BW104" s="65"/>
      <c r="BX104" s="64"/>
      <c r="BY104" s="65"/>
      <c r="BZ104" s="64"/>
      <c r="CA104" s="65"/>
      <c r="CB104" s="64"/>
      <c r="CC104" s="65"/>
      <c r="CD104" s="22"/>
      <c r="CE104" s="22"/>
      <c r="CF104" s="21"/>
      <c r="CG104" s="43"/>
      <c r="CH104" s="53"/>
      <c r="CI104" s="25"/>
      <c r="CJ104" s="21"/>
      <c r="CK104" s="22"/>
      <c r="CL104" s="22"/>
      <c r="CM104" s="64"/>
      <c r="CN104" s="65"/>
      <c r="CO104" s="64"/>
      <c r="CP104" s="65"/>
      <c r="CQ104" s="64"/>
      <c r="CR104" s="65"/>
      <c r="CS104" s="64"/>
      <c r="CT104" s="65"/>
      <c r="CU104" s="22"/>
      <c r="CV104" s="22"/>
      <c r="CW104" s="21"/>
      <c r="CX104" s="43"/>
      <c r="CY104" s="53"/>
      <c r="CZ104" s="25"/>
      <c r="DA104" s="21"/>
      <c r="DB104" s="22"/>
      <c r="DC104" s="22"/>
      <c r="DD104" s="64"/>
      <c r="DE104" s="65"/>
      <c r="DF104" s="64"/>
      <c r="DG104" s="65"/>
      <c r="DH104" s="64"/>
      <c r="DI104" s="65"/>
      <c r="DJ104" s="64"/>
      <c r="DK104" s="65"/>
      <c r="DL104" s="22"/>
      <c r="DM104" s="22"/>
      <c r="DN104" s="21"/>
      <c r="DO104" s="43"/>
      <c r="DP104" s="53"/>
      <c r="DQ104" s="25"/>
      <c r="DR104" s="21"/>
      <c r="DS104" s="22"/>
      <c r="DT104" s="22"/>
      <c r="DU104" s="64"/>
      <c r="DV104" s="65"/>
      <c r="DW104" s="64"/>
      <c r="DX104" s="65"/>
      <c r="DY104" s="64"/>
      <c r="DZ104" s="65"/>
      <c r="EA104" s="64"/>
      <c r="EB104" s="65"/>
      <c r="EC104" s="22"/>
      <c r="ED104" s="22"/>
      <c r="EE104" s="21"/>
      <c r="EF104" s="43"/>
    </row>
    <row r="105" spans="2:136" ht="18" customHeight="1" x14ac:dyDescent="0.5">
      <c r="B105" s="25"/>
      <c r="C105" s="22"/>
      <c r="D105" s="22"/>
      <c r="E105" s="62"/>
      <c r="F105" s="63"/>
      <c r="G105" s="62"/>
      <c r="H105" s="63"/>
      <c r="I105" s="62"/>
      <c r="J105" s="63"/>
      <c r="K105" s="62"/>
      <c r="L105" s="63"/>
      <c r="M105" s="62"/>
      <c r="N105" s="63"/>
      <c r="O105" s="22"/>
      <c r="P105" s="22"/>
      <c r="Q105" s="43"/>
      <c r="R105" s="21"/>
      <c r="S105" s="25"/>
      <c r="T105" s="22"/>
      <c r="U105" s="22"/>
      <c r="V105" s="62"/>
      <c r="W105" s="63"/>
      <c r="X105" s="62"/>
      <c r="Y105" s="63"/>
      <c r="Z105" s="62"/>
      <c r="AA105" s="63"/>
      <c r="AB105" s="62"/>
      <c r="AC105" s="63"/>
      <c r="AD105" s="62"/>
      <c r="AE105" s="63"/>
      <c r="AF105" s="22"/>
      <c r="AG105" s="22"/>
      <c r="AH105" s="43"/>
      <c r="AI105" s="53"/>
      <c r="AJ105" s="25"/>
      <c r="AK105" s="22"/>
      <c r="AL105" s="22"/>
      <c r="AM105" s="62"/>
      <c r="AN105" s="63"/>
      <c r="AO105" s="62"/>
      <c r="AP105" s="63"/>
      <c r="AQ105" s="62"/>
      <c r="AR105" s="63"/>
      <c r="AS105" s="62"/>
      <c r="AT105" s="63"/>
      <c r="AU105" s="62"/>
      <c r="AV105" s="63"/>
      <c r="AW105" s="22"/>
      <c r="AX105" s="22"/>
      <c r="AY105" s="43"/>
      <c r="AZ105" s="53"/>
      <c r="BA105" s="25"/>
      <c r="BB105" s="22"/>
      <c r="BC105" s="22"/>
      <c r="BD105" s="62"/>
      <c r="BE105" s="63"/>
      <c r="BF105" s="62"/>
      <c r="BG105" s="63"/>
      <c r="BH105" s="62"/>
      <c r="BI105" s="63"/>
      <c r="BJ105" s="62"/>
      <c r="BK105" s="63"/>
      <c r="BL105" s="62"/>
      <c r="BM105" s="63"/>
      <c r="BN105" s="22"/>
      <c r="BO105" s="22"/>
      <c r="BP105" s="43"/>
      <c r="BQ105" s="53"/>
      <c r="BR105" s="25"/>
      <c r="BS105" s="22"/>
      <c r="BT105" s="22"/>
      <c r="BU105" s="62"/>
      <c r="BV105" s="63"/>
      <c r="BW105" s="62"/>
      <c r="BX105" s="63"/>
      <c r="BY105" s="62"/>
      <c r="BZ105" s="63"/>
      <c r="CA105" s="62"/>
      <c r="CB105" s="63"/>
      <c r="CC105" s="62"/>
      <c r="CD105" s="63"/>
      <c r="CE105" s="22"/>
      <c r="CF105" s="22"/>
      <c r="CG105" s="43"/>
      <c r="CH105" s="53"/>
      <c r="CI105" s="25"/>
      <c r="CJ105" s="22"/>
      <c r="CK105" s="22"/>
      <c r="CL105" s="62"/>
      <c r="CM105" s="63"/>
      <c r="CN105" s="62"/>
      <c r="CO105" s="63"/>
      <c r="CP105" s="62"/>
      <c r="CQ105" s="63"/>
      <c r="CR105" s="62"/>
      <c r="CS105" s="63"/>
      <c r="CT105" s="62"/>
      <c r="CU105" s="63"/>
      <c r="CV105" s="22"/>
      <c r="CW105" s="22"/>
      <c r="CX105" s="43"/>
      <c r="CY105" s="53"/>
      <c r="CZ105" s="25"/>
      <c r="DA105" s="22"/>
      <c r="DB105" s="22"/>
      <c r="DC105" s="62"/>
      <c r="DD105" s="63"/>
      <c r="DE105" s="62"/>
      <c r="DF105" s="63"/>
      <c r="DG105" s="62"/>
      <c r="DH105" s="63"/>
      <c r="DI105" s="62"/>
      <c r="DJ105" s="63"/>
      <c r="DK105" s="62"/>
      <c r="DL105" s="63"/>
      <c r="DM105" s="22"/>
      <c r="DN105" s="22"/>
      <c r="DO105" s="43"/>
      <c r="DP105" s="53"/>
      <c r="DQ105" s="25"/>
      <c r="DR105" s="22"/>
      <c r="DS105" s="22"/>
      <c r="DT105" s="62"/>
      <c r="DU105" s="63"/>
      <c r="DV105" s="62"/>
      <c r="DW105" s="63"/>
      <c r="DX105" s="62"/>
      <c r="DY105" s="63"/>
      <c r="DZ105" s="62"/>
      <c r="EA105" s="63"/>
      <c r="EB105" s="62"/>
      <c r="EC105" s="63"/>
      <c r="ED105" s="22"/>
      <c r="EE105" s="22"/>
      <c r="EF105" s="43"/>
    </row>
    <row r="106" spans="2:136" ht="18" customHeight="1" x14ac:dyDescent="0.5">
      <c r="B106" s="25"/>
      <c r="C106" s="22"/>
      <c r="D106" s="22"/>
      <c r="E106" s="64"/>
      <c r="F106" s="65"/>
      <c r="G106" s="64"/>
      <c r="H106" s="65"/>
      <c r="I106" s="64"/>
      <c r="J106" s="65"/>
      <c r="K106" s="64"/>
      <c r="L106" s="65"/>
      <c r="M106" s="64"/>
      <c r="N106" s="65"/>
      <c r="O106" s="22"/>
      <c r="P106" s="22"/>
      <c r="Q106" s="43"/>
      <c r="R106" s="21"/>
      <c r="S106" s="25"/>
      <c r="T106" s="22"/>
      <c r="U106" s="22"/>
      <c r="V106" s="64"/>
      <c r="W106" s="65"/>
      <c r="X106" s="64"/>
      <c r="Y106" s="65"/>
      <c r="Z106" s="64"/>
      <c r="AA106" s="65"/>
      <c r="AB106" s="64"/>
      <c r="AC106" s="65"/>
      <c r="AD106" s="64"/>
      <c r="AE106" s="65"/>
      <c r="AF106" s="22"/>
      <c r="AG106" s="22"/>
      <c r="AH106" s="43"/>
      <c r="AI106" s="53"/>
      <c r="AJ106" s="25"/>
      <c r="AK106" s="22"/>
      <c r="AL106" s="22"/>
      <c r="AM106" s="64"/>
      <c r="AN106" s="65"/>
      <c r="AO106" s="64"/>
      <c r="AP106" s="65"/>
      <c r="AQ106" s="64"/>
      <c r="AR106" s="65"/>
      <c r="AS106" s="64"/>
      <c r="AT106" s="65"/>
      <c r="AU106" s="64"/>
      <c r="AV106" s="65"/>
      <c r="AW106" s="22"/>
      <c r="AX106" s="22"/>
      <c r="AY106" s="43"/>
      <c r="AZ106" s="53"/>
      <c r="BA106" s="25"/>
      <c r="BB106" s="22"/>
      <c r="BC106" s="22"/>
      <c r="BD106" s="64"/>
      <c r="BE106" s="65"/>
      <c r="BF106" s="64"/>
      <c r="BG106" s="65"/>
      <c r="BH106" s="64"/>
      <c r="BI106" s="65"/>
      <c r="BJ106" s="64"/>
      <c r="BK106" s="65"/>
      <c r="BL106" s="64"/>
      <c r="BM106" s="65"/>
      <c r="BN106" s="22"/>
      <c r="BO106" s="22"/>
      <c r="BP106" s="43"/>
      <c r="BQ106" s="53"/>
      <c r="BR106" s="25"/>
      <c r="BS106" s="22"/>
      <c r="BT106" s="22"/>
      <c r="BU106" s="64"/>
      <c r="BV106" s="65"/>
      <c r="BW106" s="64"/>
      <c r="BX106" s="65"/>
      <c r="BY106" s="64"/>
      <c r="BZ106" s="65"/>
      <c r="CA106" s="64"/>
      <c r="CB106" s="65"/>
      <c r="CC106" s="64"/>
      <c r="CD106" s="65"/>
      <c r="CE106" s="22"/>
      <c r="CF106" s="22"/>
      <c r="CG106" s="43"/>
      <c r="CH106" s="53"/>
      <c r="CI106" s="25"/>
      <c r="CJ106" s="22"/>
      <c r="CK106" s="22"/>
      <c r="CL106" s="64"/>
      <c r="CM106" s="65"/>
      <c r="CN106" s="64"/>
      <c r="CO106" s="65"/>
      <c r="CP106" s="64"/>
      <c r="CQ106" s="65"/>
      <c r="CR106" s="64"/>
      <c r="CS106" s="65"/>
      <c r="CT106" s="64"/>
      <c r="CU106" s="65"/>
      <c r="CV106" s="22"/>
      <c r="CW106" s="22"/>
      <c r="CX106" s="43"/>
      <c r="CY106" s="53"/>
      <c r="CZ106" s="25"/>
      <c r="DA106" s="22"/>
      <c r="DB106" s="22"/>
      <c r="DC106" s="64"/>
      <c r="DD106" s="65"/>
      <c r="DE106" s="64"/>
      <c r="DF106" s="65"/>
      <c r="DG106" s="64"/>
      <c r="DH106" s="65"/>
      <c r="DI106" s="64"/>
      <c r="DJ106" s="65"/>
      <c r="DK106" s="64"/>
      <c r="DL106" s="65"/>
      <c r="DM106" s="22"/>
      <c r="DN106" s="22"/>
      <c r="DO106" s="43"/>
      <c r="DP106" s="53"/>
      <c r="DQ106" s="25"/>
      <c r="DR106" s="22"/>
      <c r="DS106" s="22"/>
      <c r="DT106" s="64"/>
      <c r="DU106" s="65"/>
      <c r="DV106" s="64"/>
      <c r="DW106" s="65"/>
      <c r="DX106" s="64"/>
      <c r="DY106" s="65"/>
      <c r="DZ106" s="64"/>
      <c r="EA106" s="65"/>
      <c r="EB106" s="64"/>
      <c r="EC106" s="65"/>
      <c r="ED106" s="22"/>
      <c r="EE106" s="22"/>
      <c r="EF106" s="43"/>
    </row>
    <row r="107" spans="2:136" ht="18" customHeight="1" x14ac:dyDescent="0.5">
      <c r="B107" s="25"/>
      <c r="C107" s="22"/>
      <c r="D107" s="62"/>
      <c r="E107" s="63"/>
      <c r="F107" s="62"/>
      <c r="G107" s="63"/>
      <c r="H107" s="62"/>
      <c r="I107" s="63"/>
      <c r="J107" s="70">
        <v>5</v>
      </c>
      <c r="K107" s="63"/>
      <c r="L107" s="62"/>
      <c r="M107" s="63"/>
      <c r="N107" s="62"/>
      <c r="O107" s="63"/>
      <c r="P107" s="22"/>
      <c r="Q107" s="43"/>
      <c r="R107" s="21"/>
      <c r="S107" s="25"/>
      <c r="T107" s="22"/>
      <c r="U107" s="62"/>
      <c r="V107" s="63"/>
      <c r="W107" s="62"/>
      <c r="X107" s="63"/>
      <c r="Y107" s="70">
        <v>5</v>
      </c>
      <c r="Z107" s="63"/>
      <c r="AA107" s="62"/>
      <c r="AB107" s="63"/>
      <c r="AC107" s="62"/>
      <c r="AD107" s="63"/>
      <c r="AE107" s="62"/>
      <c r="AF107" s="63"/>
      <c r="AG107" s="22"/>
      <c r="AH107" s="43"/>
      <c r="AI107" s="53"/>
      <c r="AJ107" s="25"/>
      <c r="AK107" s="22"/>
      <c r="AL107" s="62"/>
      <c r="AM107" s="63"/>
      <c r="AN107" s="62"/>
      <c r="AO107" s="63"/>
      <c r="AP107" s="67">
        <v>2</v>
      </c>
      <c r="AQ107" s="63"/>
      <c r="AR107" s="62"/>
      <c r="AS107" s="63"/>
      <c r="AT107" s="62"/>
      <c r="AU107" s="63"/>
      <c r="AV107" s="62"/>
      <c r="AW107" s="63"/>
      <c r="AX107" s="22"/>
      <c r="AY107" s="43"/>
      <c r="AZ107" s="53"/>
      <c r="BA107" s="25"/>
      <c r="BB107" s="22"/>
      <c r="BC107" s="62"/>
      <c r="BD107" s="63"/>
      <c r="BE107" s="62"/>
      <c r="BF107" s="63"/>
      <c r="BG107" s="67">
        <v>2</v>
      </c>
      <c r="BH107" s="63"/>
      <c r="BI107" s="67">
        <v>2</v>
      </c>
      <c r="BJ107" s="63"/>
      <c r="BK107" s="62"/>
      <c r="BL107" s="63"/>
      <c r="BM107" s="62"/>
      <c r="BN107" s="63"/>
      <c r="BO107" s="22"/>
      <c r="BP107" s="43"/>
      <c r="BQ107" s="53"/>
      <c r="BR107" s="25"/>
      <c r="BS107" s="22"/>
      <c r="BT107" s="62"/>
      <c r="BU107" s="63"/>
      <c r="BV107" s="62"/>
      <c r="BW107" s="63"/>
      <c r="BX107" s="67">
        <v>2</v>
      </c>
      <c r="BY107" s="63"/>
      <c r="BZ107" s="67">
        <v>2</v>
      </c>
      <c r="CA107" s="63"/>
      <c r="CB107" s="62"/>
      <c r="CC107" s="63"/>
      <c r="CD107" s="62"/>
      <c r="CE107" s="63"/>
      <c r="CF107" s="22"/>
      <c r="CG107" s="43"/>
      <c r="CH107" s="53"/>
      <c r="CI107" s="25"/>
      <c r="CJ107" s="22"/>
      <c r="CK107" s="62"/>
      <c r="CL107" s="63"/>
      <c r="CM107" s="62"/>
      <c r="CN107" s="63"/>
      <c r="CO107" s="62"/>
      <c r="CP107" s="63"/>
      <c r="CQ107" s="67">
        <v>2</v>
      </c>
      <c r="CR107" s="63"/>
      <c r="CS107" s="62"/>
      <c r="CT107" s="63"/>
      <c r="CU107" s="62"/>
      <c r="CV107" s="63"/>
      <c r="CW107" s="22"/>
      <c r="CX107" s="43"/>
      <c r="CY107" s="53"/>
      <c r="CZ107" s="25"/>
      <c r="DA107" s="22"/>
      <c r="DB107" s="62"/>
      <c r="DC107" s="63"/>
      <c r="DD107" s="62"/>
      <c r="DE107" s="63"/>
      <c r="DF107" s="62"/>
      <c r="DG107" s="63"/>
      <c r="DH107" s="62"/>
      <c r="DI107" s="63"/>
      <c r="DJ107" s="62"/>
      <c r="DK107" s="63"/>
      <c r="DL107" s="62"/>
      <c r="DM107" s="63"/>
      <c r="DN107" s="22"/>
      <c r="DO107" s="43"/>
      <c r="DP107" s="53"/>
      <c r="DQ107" s="25"/>
      <c r="DR107" s="22"/>
      <c r="DS107" s="62"/>
      <c r="DT107" s="63"/>
      <c r="DU107" s="62"/>
      <c r="DV107" s="63"/>
      <c r="DW107" s="62"/>
      <c r="DX107" s="63"/>
      <c r="DY107" s="62"/>
      <c r="DZ107" s="63"/>
      <c r="EA107" s="62"/>
      <c r="EB107" s="63"/>
      <c r="EC107" s="62"/>
      <c r="ED107" s="63"/>
      <c r="EE107" s="22"/>
      <c r="EF107" s="43"/>
    </row>
    <row r="108" spans="2:136" ht="18" customHeight="1" x14ac:dyDescent="0.5">
      <c r="B108" s="25"/>
      <c r="C108" s="22"/>
      <c r="D108" s="64"/>
      <c r="E108" s="65"/>
      <c r="F108" s="64"/>
      <c r="G108" s="65"/>
      <c r="H108" s="64"/>
      <c r="I108" s="65"/>
      <c r="J108" s="64"/>
      <c r="K108" s="65"/>
      <c r="L108" s="64"/>
      <c r="M108" s="65"/>
      <c r="N108" s="64"/>
      <c r="O108" s="65"/>
      <c r="P108" s="22"/>
      <c r="Q108" s="43"/>
      <c r="R108" s="21"/>
      <c r="S108" s="25"/>
      <c r="T108" s="22"/>
      <c r="U108" s="64"/>
      <c r="V108" s="65"/>
      <c r="W108" s="64"/>
      <c r="X108" s="65"/>
      <c r="Y108" s="64"/>
      <c r="Z108" s="65"/>
      <c r="AA108" s="64"/>
      <c r="AB108" s="65"/>
      <c r="AC108" s="64"/>
      <c r="AD108" s="65"/>
      <c r="AE108" s="64"/>
      <c r="AF108" s="65"/>
      <c r="AG108" s="22"/>
      <c r="AH108" s="43"/>
      <c r="AI108" s="53"/>
      <c r="AJ108" s="25"/>
      <c r="AK108" s="22"/>
      <c r="AL108" s="64"/>
      <c r="AM108" s="65"/>
      <c r="AN108" s="64"/>
      <c r="AO108" s="65"/>
      <c r="AP108" s="64"/>
      <c r="AQ108" s="65"/>
      <c r="AR108" s="64"/>
      <c r="AS108" s="65"/>
      <c r="AT108" s="64"/>
      <c r="AU108" s="65"/>
      <c r="AV108" s="64"/>
      <c r="AW108" s="65"/>
      <c r="AX108" s="22"/>
      <c r="AY108" s="43"/>
      <c r="AZ108" s="53"/>
      <c r="BA108" s="25"/>
      <c r="BB108" s="22"/>
      <c r="BC108" s="64"/>
      <c r="BD108" s="65"/>
      <c r="BE108" s="64"/>
      <c r="BF108" s="65"/>
      <c r="BG108" s="64"/>
      <c r="BH108" s="65"/>
      <c r="BI108" s="64"/>
      <c r="BJ108" s="65"/>
      <c r="BK108" s="64"/>
      <c r="BL108" s="65"/>
      <c r="BM108" s="64"/>
      <c r="BN108" s="65"/>
      <c r="BO108" s="22"/>
      <c r="BP108" s="43"/>
      <c r="BQ108" s="53"/>
      <c r="BR108" s="25"/>
      <c r="BS108" s="22"/>
      <c r="BT108" s="64"/>
      <c r="BU108" s="65"/>
      <c r="BV108" s="64"/>
      <c r="BW108" s="65"/>
      <c r="BX108" s="64"/>
      <c r="BY108" s="65"/>
      <c r="BZ108" s="64"/>
      <c r="CA108" s="65"/>
      <c r="CB108" s="64"/>
      <c r="CC108" s="65"/>
      <c r="CD108" s="64"/>
      <c r="CE108" s="65"/>
      <c r="CF108" s="22"/>
      <c r="CG108" s="43"/>
      <c r="CH108" s="53"/>
      <c r="CI108" s="25"/>
      <c r="CJ108" s="22"/>
      <c r="CK108" s="64"/>
      <c r="CL108" s="65"/>
      <c r="CM108" s="64"/>
      <c r="CN108" s="65"/>
      <c r="CO108" s="64"/>
      <c r="CP108" s="65"/>
      <c r="CQ108" s="64"/>
      <c r="CR108" s="65"/>
      <c r="CS108" s="64"/>
      <c r="CT108" s="65"/>
      <c r="CU108" s="64"/>
      <c r="CV108" s="65"/>
      <c r="CW108" s="22"/>
      <c r="CX108" s="43"/>
      <c r="CY108" s="53"/>
      <c r="CZ108" s="25"/>
      <c r="DA108" s="22"/>
      <c r="DB108" s="64"/>
      <c r="DC108" s="65"/>
      <c r="DD108" s="64"/>
      <c r="DE108" s="65"/>
      <c r="DF108" s="64"/>
      <c r="DG108" s="65"/>
      <c r="DH108" s="64"/>
      <c r="DI108" s="65"/>
      <c r="DJ108" s="64"/>
      <c r="DK108" s="65"/>
      <c r="DL108" s="64"/>
      <c r="DM108" s="65"/>
      <c r="DN108" s="22"/>
      <c r="DO108" s="43"/>
      <c r="DP108" s="53"/>
      <c r="DQ108" s="25"/>
      <c r="DR108" s="22"/>
      <c r="DS108" s="64"/>
      <c r="DT108" s="65"/>
      <c r="DU108" s="64"/>
      <c r="DV108" s="65"/>
      <c r="DW108" s="64"/>
      <c r="DX108" s="65"/>
      <c r="DY108" s="64"/>
      <c r="DZ108" s="65"/>
      <c r="EA108" s="64"/>
      <c r="EB108" s="65"/>
      <c r="EC108" s="64"/>
      <c r="ED108" s="65"/>
      <c r="EE108" s="22"/>
      <c r="EF108" s="43"/>
    </row>
    <row r="109" spans="2:136" ht="18" customHeight="1" x14ac:dyDescent="0.5">
      <c r="B109" s="25"/>
      <c r="C109" s="62"/>
      <c r="D109" s="63"/>
      <c r="E109" s="62"/>
      <c r="F109" s="63"/>
      <c r="G109" s="62"/>
      <c r="H109" s="63"/>
      <c r="I109" s="70">
        <v>5</v>
      </c>
      <c r="J109" s="63"/>
      <c r="K109" s="62"/>
      <c r="L109" s="63"/>
      <c r="M109" s="62"/>
      <c r="N109" s="63"/>
      <c r="O109" s="62"/>
      <c r="P109" s="63"/>
      <c r="Q109" s="43"/>
      <c r="R109" s="21"/>
      <c r="S109" s="25"/>
      <c r="T109" s="62"/>
      <c r="U109" s="63"/>
      <c r="V109" s="62"/>
      <c r="W109" s="63"/>
      <c r="X109" s="62"/>
      <c r="Y109" s="63"/>
      <c r="Z109" s="70">
        <v>5</v>
      </c>
      <c r="AA109" s="63"/>
      <c r="AB109" s="62"/>
      <c r="AC109" s="63"/>
      <c r="AD109" s="62"/>
      <c r="AE109" s="63"/>
      <c r="AF109" s="62"/>
      <c r="AG109" s="63"/>
      <c r="AH109" s="43"/>
      <c r="AI109" s="53"/>
      <c r="AJ109" s="25"/>
      <c r="AK109" s="62"/>
      <c r="AL109" s="63"/>
      <c r="AM109" s="62"/>
      <c r="AN109" s="63"/>
      <c r="AO109" s="67">
        <v>2</v>
      </c>
      <c r="AP109" s="63"/>
      <c r="AQ109" s="67">
        <v>2</v>
      </c>
      <c r="AR109" s="63"/>
      <c r="AS109" s="62"/>
      <c r="AT109" s="63"/>
      <c r="AU109" s="62"/>
      <c r="AV109" s="63"/>
      <c r="AW109" s="62"/>
      <c r="AX109" s="63"/>
      <c r="AY109" s="43"/>
      <c r="AZ109" s="53"/>
      <c r="BA109" s="25"/>
      <c r="BB109" s="62"/>
      <c r="BC109" s="63"/>
      <c r="BD109" s="62"/>
      <c r="BE109" s="63"/>
      <c r="BF109" s="67">
        <v>2</v>
      </c>
      <c r="BG109" s="63"/>
      <c r="BH109" s="62"/>
      <c r="BI109" s="63"/>
      <c r="BJ109" s="62"/>
      <c r="BK109" s="63"/>
      <c r="BL109" s="62"/>
      <c r="BM109" s="63"/>
      <c r="BN109" s="62"/>
      <c r="BO109" s="63"/>
      <c r="BP109" s="43"/>
      <c r="BQ109" s="53"/>
      <c r="BR109" s="25"/>
      <c r="BS109" s="62"/>
      <c r="BT109" s="63"/>
      <c r="BU109" s="62"/>
      <c r="BV109" s="63"/>
      <c r="BW109" s="62"/>
      <c r="BX109" s="63"/>
      <c r="BY109" s="62"/>
      <c r="BZ109" s="63"/>
      <c r="CA109" s="67">
        <v>2</v>
      </c>
      <c r="CB109" s="63"/>
      <c r="CC109" s="62"/>
      <c r="CD109" s="63"/>
      <c r="CE109" s="62"/>
      <c r="CF109" s="63"/>
      <c r="CG109" s="43"/>
      <c r="CH109" s="53"/>
      <c r="CI109" s="25"/>
      <c r="CJ109" s="62"/>
      <c r="CK109" s="63"/>
      <c r="CL109" s="62"/>
      <c r="CM109" s="63"/>
      <c r="CN109" s="62"/>
      <c r="CO109" s="63"/>
      <c r="CP109" s="62"/>
      <c r="CQ109" s="63"/>
      <c r="CR109" s="67">
        <v>2</v>
      </c>
      <c r="CS109" s="63"/>
      <c r="CT109" s="62"/>
      <c r="CU109" s="63"/>
      <c r="CV109" s="62"/>
      <c r="CW109" s="63"/>
      <c r="CX109" s="43"/>
      <c r="CY109" s="53"/>
      <c r="CZ109" s="25"/>
      <c r="DA109" s="62"/>
      <c r="DB109" s="63"/>
      <c r="DC109" s="62"/>
      <c r="DD109" s="63"/>
      <c r="DE109" s="62"/>
      <c r="DF109" s="63"/>
      <c r="DG109" s="62"/>
      <c r="DH109" s="63"/>
      <c r="DI109" s="67">
        <v>2</v>
      </c>
      <c r="DJ109" s="63"/>
      <c r="DK109" s="62"/>
      <c r="DL109" s="63"/>
      <c r="DM109" s="62"/>
      <c r="DN109" s="63"/>
      <c r="DO109" s="43"/>
      <c r="DP109" s="53"/>
      <c r="DQ109" s="25"/>
      <c r="DR109" s="62"/>
      <c r="DS109" s="63"/>
      <c r="DT109" s="62"/>
      <c r="DU109" s="63"/>
      <c r="DV109" s="67">
        <v>2</v>
      </c>
      <c r="DW109" s="63"/>
      <c r="DX109" s="62"/>
      <c r="DY109" s="63"/>
      <c r="DZ109" s="62"/>
      <c r="EA109" s="63"/>
      <c r="EB109" s="62"/>
      <c r="EC109" s="63"/>
      <c r="ED109" s="62"/>
      <c r="EE109" s="63"/>
      <c r="EF109" s="43"/>
    </row>
    <row r="110" spans="2:136" ht="18" customHeight="1" x14ac:dyDescent="0.5">
      <c r="B110" s="25"/>
      <c r="C110" s="64"/>
      <c r="D110" s="65"/>
      <c r="E110" s="64"/>
      <c r="F110" s="65"/>
      <c r="G110" s="64"/>
      <c r="H110" s="65"/>
      <c r="I110" s="64"/>
      <c r="J110" s="65"/>
      <c r="K110" s="64"/>
      <c r="L110" s="65"/>
      <c r="M110" s="64"/>
      <c r="N110" s="65"/>
      <c r="O110" s="64"/>
      <c r="P110" s="65"/>
      <c r="Q110" s="43"/>
      <c r="R110" s="21"/>
      <c r="S110" s="25"/>
      <c r="T110" s="64"/>
      <c r="U110" s="65"/>
      <c r="V110" s="64"/>
      <c r="W110" s="65"/>
      <c r="X110" s="64"/>
      <c r="Y110" s="65"/>
      <c r="Z110" s="64"/>
      <c r="AA110" s="65"/>
      <c r="AB110" s="64"/>
      <c r="AC110" s="65"/>
      <c r="AD110" s="64"/>
      <c r="AE110" s="65"/>
      <c r="AF110" s="64"/>
      <c r="AG110" s="65"/>
      <c r="AH110" s="43"/>
      <c r="AI110" s="53"/>
      <c r="AJ110" s="25"/>
      <c r="AK110" s="64"/>
      <c r="AL110" s="65"/>
      <c r="AM110" s="64"/>
      <c r="AN110" s="65"/>
      <c r="AO110" s="64"/>
      <c r="AP110" s="65"/>
      <c r="AQ110" s="64"/>
      <c r="AR110" s="65"/>
      <c r="AS110" s="64"/>
      <c r="AT110" s="65"/>
      <c r="AU110" s="64"/>
      <c r="AV110" s="65"/>
      <c r="AW110" s="64"/>
      <c r="AX110" s="65"/>
      <c r="AY110" s="43"/>
      <c r="AZ110" s="53"/>
      <c r="BA110" s="25"/>
      <c r="BB110" s="64"/>
      <c r="BC110" s="65"/>
      <c r="BD110" s="64"/>
      <c r="BE110" s="65"/>
      <c r="BF110" s="64"/>
      <c r="BG110" s="65"/>
      <c r="BH110" s="64"/>
      <c r="BI110" s="65"/>
      <c r="BJ110" s="64"/>
      <c r="BK110" s="65"/>
      <c r="BL110" s="64"/>
      <c r="BM110" s="65"/>
      <c r="BN110" s="64"/>
      <c r="BO110" s="65"/>
      <c r="BP110" s="43"/>
      <c r="BQ110" s="53"/>
      <c r="BR110" s="25"/>
      <c r="BS110" s="64"/>
      <c r="BT110" s="65"/>
      <c r="BU110" s="64"/>
      <c r="BV110" s="65"/>
      <c r="BW110" s="64"/>
      <c r="BX110" s="65"/>
      <c r="BY110" s="64"/>
      <c r="BZ110" s="65"/>
      <c r="CA110" s="64"/>
      <c r="CB110" s="65"/>
      <c r="CC110" s="64"/>
      <c r="CD110" s="65"/>
      <c r="CE110" s="64"/>
      <c r="CF110" s="65"/>
      <c r="CG110" s="43"/>
      <c r="CH110" s="53"/>
      <c r="CI110" s="25"/>
      <c r="CJ110" s="64"/>
      <c r="CK110" s="65"/>
      <c r="CL110" s="64"/>
      <c r="CM110" s="65"/>
      <c r="CN110" s="64"/>
      <c r="CO110" s="65"/>
      <c r="CP110" s="64"/>
      <c r="CQ110" s="65"/>
      <c r="CR110" s="64"/>
      <c r="CS110" s="65"/>
      <c r="CT110" s="64"/>
      <c r="CU110" s="65"/>
      <c r="CV110" s="64"/>
      <c r="CW110" s="65"/>
      <c r="CX110" s="43"/>
      <c r="CY110" s="53"/>
      <c r="CZ110" s="25"/>
      <c r="DA110" s="64"/>
      <c r="DB110" s="65"/>
      <c r="DC110" s="64"/>
      <c r="DD110" s="65"/>
      <c r="DE110" s="64"/>
      <c r="DF110" s="65"/>
      <c r="DG110" s="64"/>
      <c r="DH110" s="65"/>
      <c r="DI110" s="64"/>
      <c r="DJ110" s="65"/>
      <c r="DK110" s="64"/>
      <c r="DL110" s="65"/>
      <c r="DM110" s="64"/>
      <c r="DN110" s="65"/>
      <c r="DO110" s="43"/>
      <c r="DP110" s="53"/>
      <c r="DQ110" s="25"/>
      <c r="DR110" s="64"/>
      <c r="DS110" s="65"/>
      <c r="DT110" s="64"/>
      <c r="DU110" s="65"/>
      <c r="DV110" s="64"/>
      <c r="DW110" s="65"/>
      <c r="DX110" s="64"/>
      <c r="DY110" s="65"/>
      <c r="DZ110" s="64"/>
      <c r="EA110" s="65"/>
      <c r="EB110" s="64"/>
      <c r="EC110" s="65"/>
      <c r="ED110" s="64"/>
      <c r="EE110" s="65"/>
      <c r="EF110" s="43"/>
    </row>
    <row r="111" spans="2:136" ht="18" customHeight="1" x14ac:dyDescent="0.5">
      <c r="B111" s="25"/>
      <c r="C111" s="22"/>
      <c r="D111" s="62"/>
      <c r="E111" s="63"/>
      <c r="F111" s="62"/>
      <c r="G111" s="63"/>
      <c r="H111" s="70">
        <v>5</v>
      </c>
      <c r="I111" s="63"/>
      <c r="J111" s="62"/>
      <c r="K111" s="63"/>
      <c r="L111" s="62"/>
      <c r="M111" s="63"/>
      <c r="N111" s="62"/>
      <c r="O111" s="63"/>
      <c r="P111" s="22"/>
      <c r="Q111" s="43"/>
      <c r="R111" s="21"/>
      <c r="S111" s="25"/>
      <c r="T111" s="22"/>
      <c r="U111" s="62"/>
      <c r="V111" s="63"/>
      <c r="W111" s="62"/>
      <c r="X111" s="63"/>
      <c r="Y111" s="62"/>
      <c r="Z111" s="63"/>
      <c r="AA111" s="70">
        <v>5</v>
      </c>
      <c r="AB111" s="63"/>
      <c r="AC111" s="62"/>
      <c r="AD111" s="63"/>
      <c r="AE111" s="62"/>
      <c r="AF111" s="63"/>
      <c r="AG111" s="22"/>
      <c r="AH111" s="43"/>
      <c r="AI111" s="53"/>
      <c r="AJ111" s="25"/>
      <c r="AK111" s="22"/>
      <c r="AL111" s="62"/>
      <c r="AM111" s="63"/>
      <c r="AN111" s="62"/>
      <c r="AO111" s="63"/>
      <c r="AP111" s="62"/>
      <c r="AQ111" s="63"/>
      <c r="AR111" s="62"/>
      <c r="AS111" s="63"/>
      <c r="AT111" s="62"/>
      <c r="AU111" s="63"/>
      <c r="AV111" s="62"/>
      <c r="AW111" s="63"/>
      <c r="AX111" s="22"/>
      <c r="AY111" s="43"/>
      <c r="AZ111" s="53"/>
      <c r="BA111" s="25"/>
      <c r="BB111" s="22"/>
      <c r="BC111" s="62"/>
      <c r="BD111" s="63"/>
      <c r="BE111" s="62"/>
      <c r="BF111" s="63"/>
      <c r="BG111" s="62"/>
      <c r="BH111" s="63"/>
      <c r="BI111" s="62"/>
      <c r="BJ111" s="63"/>
      <c r="BK111" s="62"/>
      <c r="BL111" s="63"/>
      <c r="BM111" s="62"/>
      <c r="BN111" s="63"/>
      <c r="BO111" s="22"/>
      <c r="BP111" s="43"/>
      <c r="BQ111" s="53"/>
      <c r="BR111" s="25"/>
      <c r="BS111" s="22"/>
      <c r="BT111" s="62"/>
      <c r="BU111" s="63"/>
      <c r="BV111" s="62"/>
      <c r="BW111" s="63"/>
      <c r="BX111" s="62"/>
      <c r="BY111" s="63"/>
      <c r="BZ111" s="62"/>
      <c r="CA111" s="63"/>
      <c r="CB111" s="62"/>
      <c r="CC111" s="63"/>
      <c r="CD111" s="62"/>
      <c r="CE111" s="63"/>
      <c r="CF111" s="22"/>
      <c r="CG111" s="43"/>
      <c r="CH111" s="53"/>
      <c r="CI111" s="25"/>
      <c r="CJ111" s="22"/>
      <c r="CK111" s="62"/>
      <c r="CL111" s="63"/>
      <c r="CM111" s="62"/>
      <c r="CN111" s="63"/>
      <c r="CO111" s="62"/>
      <c r="CP111" s="63"/>
      <c r="CQ111" s="67">
        <v>2</v>
      </c>
      <c r="CR111" s="63"/>
      <c r="CS111" s="62"/>
      <c r="CT111" s="63"/>
      <c r="CU111" s="62"/>
      <c r="CV111" s="63"/>
      <c r="CW111" s="22"/>
      <c r="CX111" s="43"/>
      <c r="CY111" s="53"/>
      <c r="CZ111" s="25"/>
      <c r="DA111" s="22"/>
      <c r="DB111" s="62"/>
      <c r="DC111" s="63"/>
      <c r="DD111" s="62"/>
      <c r="DE111" s="63"/>
      <c r="DF111" s="67">
        <v>2</v>
      </c>
      <c r="DG111" s="63"/>
      <c r="DH111" s="67">
        <v>2</v>
      </c>
      <c r="DI111" s="63"/>
      <c r="DJ111" s="62"/>
      <c r="DK111" s="63"/>
      <c r="DL111" s="62"/>
      <c r="DM111" s="63"/>
      <c r="DN111" s="22"/>
      <c r="DO111" s="43"/>
      <c r="DP111" s="53"/>
      <c r="DQ111" s="25"/>
      <c r="DR111" s="22"/>
      <c r="DS111" s="62"/>
      <c r="DT111" s="63"/>
      <c r="DU111" s="62"/>
      <c r="DV111" s="63"/>
      <c r="DW111" s="67">
        <v>2</v>
      </c>
      <c r="DX111" s="63"/>
      <c r="DY111" s="67">
        <v>2</v>
      </c>
      <c r="DZ111" s="63"/>
      <c r="EA111" s="62"/>
      <c r="EB111" s="63"/>
      <c r="EC111" s="62"/>
      <c r="ED111" s="63"/>
      <c r="EE111" s="22"/>
      <c r="EF111" s="43"/>
    </row>
    <row r="112" spans="2:136" ht="18" customHeight="1" x14ac:dyDescent="0.5">
      <c r="B112" s="25"/>
      <c r="C112" s="22"/>
      <c r="D112" s="64"/>
      <c r="E112" s="65"/>
      <c r="F112" s="64"/>
      <c r="G112" s="65"/>
      <c r="H112" s="64"/>
      <c r="I112" s="65"/>
      <c r="J112" s="64"/>
      <c r="K112" s="65"/>
      <c r="L112" s="64"/>
      <c r="M112" s="65"/>
      <c r="N112" s="64"/>
      <c r="O112" s="65"/>
      <c r="P112" s="22"/>
      <c r="Q112" s="43"/>
      <c r="R112" s="21"/>
      <c r="S112" s="25"/>
      <c r="T112" s="22"/>
      <c r="U112" s="64"/>
      <c r="V112" s="65"/>
      <c r="W112" s="64"/>
      <c r="X112" s="65"/>
      <c r="Y112" s="64"/>
      <c r="Z112" s="65"/>
      <c r="AA112" s="64"/>
      <c r="AB112" s="65"/>
      <c r="AC112" s="64"/>
      <c r="AD112" s="65"/>
      <c r="AE112" s="64"/>
      <c r="AF112" s="65"/>
      <c r="AG112" s="22"/>
      <c r="AH112" s="43"/>
      <c r="AI112" s="53"/>
      <c r="AJ112" s="25"/>
      <c r="AK112" s="22"/>
      <c r="AL112" s="64"/>
      <c r="AM112" s="65"/>
      <c r="AN112" s="64"/>
      <c r="AO112" s="65"/>
      <c r="AP112" s="64"/>
      <c r="AQ112" s="65"/>
      <c r="AR112" s="64"/>
      <c r="AS112" s="65"/>
      <c r="AT112" s="64"/>
      <c r="AU112" s="65"/>
      <c r="AV112" s="64"/>
      <c r="AW112" s="65"/>
      <c r="AX112" s="22"/>
      <c r="AY112" s="43"/>
      <c r="AZ112" s="53"/>
      <c r="BA112" s="25"/>
      <c r="BB112" s="22"/>
      <c r="BC112" s="64"/>
      <c r="BD112" s="65"/>
      <c r="BE112" s="64"/>
      <c r="BF112" s="65"/>
      <c r="BG112" s="64"/>
      <c r="BH112" s="65"/>
      <c r="BI112" s="64"/>
      <c r="BJ112" s="65"/>
      <c r="BK112" s="64"/>
      <c r="BL112" s="65"/>
      <c r="BM112" s="64"/>
      <c r="BN112" s="65"/>
      <c r="BO112" s="22"/>
      <c r="BP112" s="43"/>
      <c r="BQ112" s="53"/>
      <c r="BR112" s="25"/>
      <c r="BS112" s="22"/>
      <c r="BT112" s="64"/>
      <c r="BU112" s="65"/>
      <c r="BV112" s="64"/>
      <c r="BW112" s="65"/>
      <c r="BX112" s="64"/>
      <c r="BY112" s="65"/>
      <c r="BZ112" s="64"/>
      <c r="CA112" s="65"/>
      <c r="CB112" s="64"/>
      <c r="CC112" s="65"/>
      <c r="CD112" s="64"/>
      <c r="CE112" s="65"/>
      <c r="CF112" s="22"/>
      <c r="CG112" s="43"/>
      <c r="CH112" s="53"/>
      <c r="CI112" s="25"/>
      <c r="CJ112" s="22"/>
      <c r="CK112" s="64"/>
      <c r="CL112" s="65"/>
      <c r="CM112" s="64"/>
      <c r="CN112" s="65"/>
      <c r="CO112" s="64"/>
      <c r="CP112" s="65"/>
      <c r="CQ112" s="64"/>
      <c r="CR112" s="65"/>
      <c r="CS112" s="64"/>
      <c r="CT112" s="65"/>
      <c r="CU112" s="64"/>
      <c r="CV112" s="65"/>
      <c r="CW112" s="22"/>
      <c r="CX112" s="43"/>
      <c r="CY112" s="53"/>
      <c r="CZ112" s="25"/>
      <c r="DA112" s="22"/>
      <c r="DB112" s="64"/>
      <c r="DC112" s="65"/>
      <c r="DD112" s="64"/>
      <c r="DE112" s="65"/>
      <c r="DF112" s="64"/>
      <c r="DG112" s="65"/>
      <c r="DH112" s="64"/>
      <c r="DI112" s="65"/>
      <c r="DJ112" s="64"/>
      <c r="DK112" s="65"/>
      <c r="DL112" s="64"/>
      <c r="DM112" s="65"/>
      <c r="DN112" s="22"/>
      <c r="DO112" s="43"/>
      <c r="DP112" s="53"/>
      <c r="DQ112" s="25"/>
      <c r="DR112" s="22"/>
      <c r="DS112" s="64"/>
      <c r="DT112" s="65"/>
      <c r="DU112" s="64"/>
      <c r="DV112" s="65"/>
      <c r="DW112" s="64"/>
      <c r="DX112" s="65"/>
      <c r="DY112" s="64"/>
      <c r="DZ112" s="65"/>
      <c r="EA112" s="64"/>
      <c r="EB112" s="65"/>
      <c r="EC112" s="64"/>
      <c r="ED112" s="65"/>
      <c r="EE112" s="22"/>
      <c r="EF112" s="43"/>
    </row>
    <row r="113" spans="2:137" ht="18" customHeight="1" x14ac:dyDescent="0.5">
      <c r="B113" s="25"/>
      <c r="C113" s="22"/>
      <c r="D113" s="22"/>
      <c r="E113" s="62"/>
      <c r="F113" s="63"/>
      <c r="G113" s="62"/>
      <c r="H113" s="63"/>
      <c r="I113" s="62"/>
      <c r="J113" s="63"/>
      <c r="K113" s="62"/>
      <c r="L113" s="63"/>
      <c r="M113" s="62"/>
      <c r="N113" s="63"/>
      <c r="O113" s="22"/>
      <c r="P113" s="22"/>
      <c r="Q113" s="43"/>
      <c r="R113" s="21"/>
      <c r="S113" s="25"/>
      <c r="T113" s="22"/>
      <c r="U113" s="22"/>
      <c r="V113" s="62"/>
      <c r="W113" s="63"/>
      <c r="X113" s="62"/>
      <c r="Y113" s="63"/>
      <c r="Z113" s="62"/>
      <c r="AA113" s="63"/>
      <c r="AB113" s="62"/>
      <c r="AC113" s="63"/>
      <c r="AD113" s="62"/>
      <c r="AE113" s="63"/>
      <c r="AF113" s="22"/>
      <c r="AG113" s="22"/>
      <c r="AH113" s="43"/>
      <c r="AI113" s="53"/>
      <c r="AJ113" s="25"/>
      <c r="AK113" s="22"/>
      <c r="AL113" s="22"/>
      <c r="AM113" s="62"/>
      <c r="AN113" s="63"/>
      <c r="AO113" s="62"/>
      <c r="AP113" s="63"/>
      <c r="AQ113" s="62"/>
      <c r="AR113" s="63"/>
      <c r="AS113" s="62"/>
      <c r="AT113" s="63"/>
      <c r="AU113" s="62"/>
      <c r="AV113" s="63"/>
      <c r="AW113" s="22"/>
      <c r="AX113" s="22"/>
      <c r="AY113" s="43"/>
      <c r="AZ113" s="53"/>
      <c r="BA113" s="25"/>
      <c r="BB113" s="22"/>
      <c r="BC113" s="22"/>
      <c r="BD113" s="62"/>
      <c r="BE113" s="63"/>
      <c r="BF113" s="62"/>
      <c r="BG113" s="63"/>
      <c r="BH113" s="62"/>
      <c r="BI113" s="63"/>
      <c r="BJ113" s="62"/>
      <c r="BK113" s="63"/>
      <c r="BL113" s="62"/>
      <c r="BM113" s="63"/>
      <c r="BN113" s="22"/>
      <c r="BO113" s="22"/>
      <c r="BP113" s="43"/>
      <c r="BQ113" s="53"/>
      <c r="BR113" s="25"/>
      <c r="BS113" s="22"/>
      <c r="BT113" s="22"/>
      <c r="BU113" s="62"/>
      <c r="BV113" s="63"/>
      <c r="BW113" s="62"/>
      <c r="BX113" s="63"/>
      <c r="BY113" s="62"/>
      <c r="BZ113" s="63"/>
      <c r="CA113" s="62"/>
      <c r="CB113" s="63"/>
      <c r="CC113" s="62"/>
      <c r="CD113" s="63"/>
      <c r="CE113" s="22"/>
      <c r="CF113" s="22"/>
      <c r="CG113" s="43"/>
      <c r="CH113" s="53"/>
      <c r="CI113" s="25"/>
      <c r="CJ113" s="22"/>
      <c r="CK113" s="22"/>
      <c r="CL113" s="62"/>
      <c r="CM113" s="63"/>
      <c r="CN113" s="62"/>
      <c r="CO113" s="63"/>
      <c r="CP113" s="62"/>
      <c r="CQ113" s="63"/>
      <c r="CR113" s="62"/>
      <c r="CS113" s="63"/>
      <c r="CT113" s="62"/>
      <c r="CU113" s="63"/>
      <c r="CV113" s="22"/>
      <c r="CW113" s="22"/>
      <c r="CX113" s="43"/>
      <c r="CY113" s="53"/>
      <c r="CZ113" s="25"/>
      <c r="DA113" s="22"/>
      <c r="DB113" s="22"/>
      <c r="DC113" s="62"/>
      <c r="DD113" s="63"/>
      <c r="DE113" s="62"/>
      <c r="DF113" s="63"/>
      <c r="DG113" s="62"/>
      <c r="DH113" s="63"/>
      <c r="DI113" s="62"/>
      <c r="DJ113" s="63"/>
      <c r="DK113" s="62"/>
      <c r="DL113" s="63"/>
      <c r="DM113" s="22"/>
      <c r="DN113" s="22"/>
      <c r="DO113" s="43"/>
      <c r="DP113" s="53"/>
      <c r="DQ113" s="25"/>
      <c r="DR113" s="22"/>
      <c r="DS113" s="22"/>
      <c r="DT113" s="62"/>
      <c r="DU113" s="63"/>
      <c r="DV113" s="62"/>
      <c r="DW113" s="63"/>
      <c r="DX113" s="62"/>
      <c r="DY113" s="63"/>
      <c r="DZ113" s="62"/>
      <c r="EA113" s="63"/>
      <c r="EB113" s="62"/>
      <c r="EC113" s="63"/>
      <c r="ED113" s="22"/>
      <c r="EE113" s="22"/>
      <c r="EF113" s="43"/>
    </row>
    <row r="114" spans="2:137" ht="18" customHeight="1" x14ac:dyDescent="0.5">
      <c r="B114" s="25"/>
      <c r="C114" s="22"/>
      <c r="D114" s="22"/>
      <c r="E114" s="64"/>
      <c r="F114" s="65"/>
      <c r="G114" s="64"/>
      <c r="H114" s="65"/>
      <c r="I114" s="64"/>
      <c r="J114" s="65"/>
      <c r="K114" s="64"/>
      <c r="L114" s="65"/>
      <c r="M114" s="64"/>
      <c r="N114" s="65"/>
      <c r="O114" s="22"/>
      <c r="P114" s="22"/>
      <c r="Q114" s="43"/>
      <c r="R114" s="21"/>
      <c r="S114" s="25"/>
      <c r="T114" s="22"/>
      <c r="U114" s="22"/>
      <c r="V114" s="64"/>
      <c r="W114" s="65"/>
      <c r="X114" s="64"/>
      <c r="Y114" s="65"/>
      <c r="Z114" s="64"/>
      <c r="AA114" s="65"/>
      <c r="AB114" s="64"/>
      <c r="AC114" s="65"/>
      <c r="AD114" s="64"/>
      <c r="AE114" s="65"/>
      <c r="AF114" s="22"/>
      <c r="AG114" s="22"/>
      <c r="AH114" s="43"/>
      <c r="AI114" s="53"/>
      <c r="AJ114" s="25"/>
      <c r="AK114" s="22"/>
      <c r="AL114" s="22"/>
      <c r="AM114" s="64"/>
      <c r="AN114" s="65"/>
      <c r="AO114" s="64"/>
      <c r="AP114" s="65"/>
      <c r="AQ114" s="64"/>
      <c r="AR114" s="65"/>
      <c r="AS114" s="64"/>
      <c r="AT114" s="65"/>
      <c r="AU114" s="64"/>
      <c r="AV114" s="65"/>
      <c r="AW114" s="22"/>
      <c r="AX114" s="22"/>
      <c r="AY114" s="43"/>
      <c r="AZ114" s="53"/>
      <c r="BA114" s="25"/>
      <c r="BB114" s="22"/>
      <c r="BC114" s="22"/>
      <c r="BD114" s="64"/>
      <c r="BE114" s="65"/>
      <c r="BF114" s="64"/>
      <c r="BG114" s="65"/>
      <c r="BH114" s="64"/>
      <c r="BI114" s="65"/>
      <c r="BJ114" s="64"/>
      <c r="BK114" s="65"/>
      <c r="BL114" s="64"/>
      <c r="BM114" s="65"/>
      <c r="BN114" s="22"/>
      <c r="BO114" s="22"/>
      <c r="BP114" s="43"/>
      <c r="BQ114" s="53"/>
      <c r="BR114" s="25"/>
      <c r="BS114" s="22"/>
      <c r="BT114" s="22"/>
      <c r="BU114" s="64"/>
      <c r="BV114" s="65"/>
      <c r="BW114" s="64"/>
      <c r="BX114" s="65"/>
      <c r="BY114" s="64"/>
      <c r="BZ114" s="65"/>
      <c r="CA114" s="64"/>
      <c r="CB114" s="65"/>
      <c r="CC114" s="64"/>
      <c r="CD114" s="65"/>
      <c r="CE114" s="22"/>
      <c r="CF114" s="22"/>
      <c r="CG114" s="43"/>
      <c r="CH114" s="53"/>
      <c r="CI114" s="25"/>
      <c r="CJ114" s="22"/>
      <c r="CK114" s="22"/>
      <c r="CL114" s="64"/>
      <c r="CM114" s="65"/>
      <c r="CN114" s="64"/>
      <c r="CO114" s="65"/>
      <c r="CP114" s="64"/>
      <c r="CQ114" s="65"/>
      <c r="CR114" s="64"/>
      <c r="CS114" s="65"/>
      <c r="CT114" s="64"/>
      <c r="CU114" s="65"/>
      <c r="CV114" s="22"/>
      <c r="CW114" s="22"/>
      <c r="CX114" s="43"/>
      <c r="CY114" s="53"/>
      <c r="CZ114" s="25"/>
      <c r="DA114" s="22"/>
      <c r="DB114" s="22"/>
      <c r="DC114" s="64"/>
      <c r="DD114" s="65"/>
      <c r="DE114" s="64"/>
      <c r="DF114" s="65"/>
      <c r="DG114" s="64"/>
      <c r="DH114" s="65"/>
      <c r="DI114" s="64"/>
      <c r="DJ114" s="65"/>
      <c r="DK114" s="64"/>
      <c r="DL114" s="65"/>
      <c r="DM114" s="22"/>
      <c r="DN114" s="22"/>
      <c r="DO114" s="43"/>
      <c r="DP114" s="53"/>
      <c r="DQ114" s="25"/>
      <c r="DR114" s="22"/>
      <c r="DS114" s="22"/>
      <c r="DT114" s="64"/>
      <c r="DU114" s="65"/>
      <c r="DV114" s="64"/>
      <c r="DW114" s="65"/>
      <c r="DX114" s="64"/>
      <c r="DY114" s="65"/>
      <c r="DZ114" s="64"/>
      <c r="EA114" s="65"/>
      <c r="EB114" s="64"/>
      <c r="EC114" s="65"/>
      <c r="ED114" s="22"/>
      <c r="EE114" s="22"/>
      <c r="EF114" s="43"/>
    </row>
    <row r="115" spans="2:137" ht="18" customHeight="1" x14ac:dyDescent="0.5">
      <c r="B115" s="25"/>
      <c r="C115" s="21"/>
      <c r="D115" s="22"/>
      <c r="E115" s="22"/>
      <c r="F115" s="62"/>
      <c r="G115" s="63"/>
      <c r="H115" s="62"/>
      <c r="I115" s="63"/>
      <c r="J115" s="62"/>
      <c r="K115" s="63"/>
      <c r="L115" s="62"/>
      <c r="M115" s="63"/>
      <c r="N115" s="22"/>
      <c r="O115" s="22"/>
      <c r="P115" s="21"/>
      <c r="Q115" s="43"/>
      <c r="R115" s="21"/>
      <c r="S115" s="25"/>
      <c r="T115" s="21"/>
      <c r="U115" s="22"/>
      <c r="V115" s="22"/>
      <c r="W115" s="62"/>
      <c r="X115" s="63"/>
      <c r="Y115" s="62"/>
      <c r="Z115" s="63"/>
      <c r="AA115" s="62"/>
      <c r="AB115" s="63"/>
      <c r="AC115" s="62"/>
      <c r="AD115" s="63"/>
      <c r="AE115" s="22"/>
      <c r="AF115" s="22"/>
      <c r="AG115" s="21"/>
      <c r="AH115" s="43"/>
      <c r="AI115" s="53"/>
      <c r="AJ115" s="25"/>
      <c r="AK115" s="21"/>
      <c r="AL115" s="22"/>
      <c r="AM115" s="22"/>
      <c r="AN115" s="62"/>
      <c r="AO115" s="63"/>
      <c r="AP115" s="62"/>
      <c r="AQ115" s="63"/>
      <c r="AR115" s="62"/>
      <c r="AS115" s="63"/>
      <c r="AT115" s="62"/>
      <c r="AU115" s="63"/>
      <c r="AV115" s="22"/>
      <c r="AW115" s="22"/>
      <c r="AX115" s="21"/>
      <c r="AY115" s="43"/>
      <c r="AZ115" s="53"/>
      <c r="BA115" s="25"/>
      <c r="BB115" s="21"/>
      <c r="BC115" s="22"/>
      <c r="BD115" s="22"/>
      <c r="BE115" s="62"/>
      <c r="BF115" s="63"/>
      <c r="BG115" s="62"/>
      <c r="BH115" s="63"/>
      <c r="BI115" s="62"/>
      <c r="BJ115" s="63"/>
      <c r="BK115" s="62"/>
      <c r="BL115" s="63"/>
      <c r="BM115" s="22"/>
      <c r="BN115" s="22"/>
      <c r="BO115" s="21"/>
      <c r="BP115" s="43"/>
      <c r="BQ115" s="53"/>
      <c r="BR115" s="25"/>
      <c r="BS115" s="21"/>
      <c r="BT115" s="22"/>
      <c r="BU115" s="22"/>
      <c r="BV115" s="62"/>
      <c r="BW115" s="63"/>
      <c r="BX115" s="62"/>
      <c r="BY115" s="63"/>
      <c r="BZ115" s="62"/>
      <c r="CA115" s="63"/>
      <c r="CB115" s="62"/>
      <c r="CC115" s="63"/>
      <c r="CD115" s="22"/>
      <c r="CE115" s="22"/>
      <c r="CF115" s="21"/>
      <c r="CG115" s="43"/>
      <c r="CH115" s="53"/>
      <c r="CI115" s="25"/>
      <c r="CJ115" s="21"/>
      <c r="CK115" s="22"/>
      <c r="CL115" s="22"/>
      <c r="CM115" s="62"/>
      <c r="CN115" s="63"/>
      <c r="CO115" s="62"/>
      <c r="CP115" s="63"/>
      <c r="CQ115" s="62"/>
      <c r="CR115" s="63"/>
      <c r="CS115" s="62"/>
      <c r="CT115" s="63"/>
      <c r="CU115" s="22"/>
      <c r="CV115" s="22"/>
      <c r="CW115" s="21"/>
      <c r="CX115" s="43"/>
      <c r="CY115" s="53"/>
      <c r="CZ115" s="25"/>
      <c r="DA115" s="21"/>
      <c r="DB115" s="22"/>
      <c r="DC115" s="22"/>
      <c r="DD115" s="62"/>
      <c r="DE115" s="63"/>
      <c r="DF115" s="62"/>
      <c r="DG115" s="63"/>
      <c r="DH115" s="62"/>
      <c r="DI115" s="63"/>
      <c r="DJ115" s="62"/>
      <c r="DK115" s="63"/>
      <c r="DL115" s="22"/>
      <c r="DM115" s="22"/>
      <c r="DN115" s="21"/>
      <c r="DO115" s="43"/>
      <c r="DP115" s="53"/>
      <c r="DQ115" s="25"/>
      <c r="DR115" s="21"/>
      <c r="DS115" s="22"/>
      <c r="DT115" s="22"/>
      <c r="DU115" s="62"/>
      <c r="DV115" s="63"/>
      <c r="DW115" s="62"/>
      <c r="DX115" s="63"/>
      <c r="DY115" s="62"/>
      <c r="DZ115" s="63"/>
      <c r="EA115" s="62"/>
      <c r="EB115" s="63"/>
      <c r="EC115" s="22"/>
      <c r="ED115" s="22"/>
      <c r="EE115" s="21"/>
      <c r="EF115" s="43"/>
    </row>
    <row r="116" spans="2:137" ht="18" customHeight="1" x14ac:dyDescent="0.5">
      <c r="B116" s="25"/>
      <c r="C116" s="21"/>
      <c r="D116" s="22"/>
      <c r="E116" s="22"/>
      <c r="F116" s="64"/>
      <c r="G116" s="65"/>
      <c r="H116" s="64"/>
      <c r="I116" s="65"/>
      <c r="J116" s="64"/>
      <c r="K116" s="65"/>
      <c r="L116" s="64"/>
      <c r="M116" s="65"/>
      <c r="N116" s="22"/>
      <c r="O116" s="22"/>
      <c r="P116" s="21"/>
      <c r="Q116" s="43"/>
      <c r="R116" s="21"/>
      <c r="S116" s="25"/>
      <c r="T116" s="21"/>
      <c r="U116" s="22"/>
      <c r="V116" s="22"/>
      <c r="W116" s="64"/>
      <c r="X116" s="65"/>
      <c r="Y116" s="64"/>
      <c r="Z116" s="65"/>
      <c r="AA116" s="64"/>
      <c r="AB116" s="65"/>
      <c r="AC116" s="64"/>
      <c r="AD116" s="65"/>
      <c r="AE116" s="22"/>
      <c r="AF116" s="22"/>
      <c r="AG116" s="21"/>
      <c r="AH116" s="43"/>
      <c r="AI116" s="53"/>
      <c r="AJ116" s="25"/>
      <c r="AK116" s="21"/>
      <c r="AL116" s="22"/>
      <c r="AM116" s="22"/>
      <c r="AN116" s="64"/>
      <c r="AO116" s="65"/>
      <c r="AP116" s="64"/>
      <c r="AQ116" s="65"/>
      <c r="AR116" s="64"/>
      <c r="AS116" s="65"/>
      <c r="AT116" s="64"/>
      <c r="AU116" s="65"/>
      <c r="AV116" s="22"/>
      <c r="AW116" s="22"/>
      <c r="AX116" s="21"/>
      <c r="AY116" s="43"/>
      <c r="AZ116" s="53"/>
      <c r="BA116" s="25"/>
      <c r="BB116" s="21"/>
      <c r="BC116" s="22"/>
      <c r="BD116" s="22"/>
      <c r="BE116" s="64"/>
      <c r="BF116" s="65"/>
      <c r="BG116" s="64"/>
      <c r="BH116" s="65"/>
      <c r="BI116" s="64"/>
      <c r="BJ116" s="65"/>
      <c r="BK116" s="64"/>
      <c r="BL116" s="65"/>
      <c r="BM116" s="22"/>
      <c r="BN116" s="22"/>
      <c r="BO116" s="21"/>
      <c r="BP116" s="43"/>
      <c r="BQ116" s="53"/>
      <c r="BR116" s="25"/>
      <c r="BS116" s="21"/>
      <c r="BT116" s="22"/>
      <c r="BU116" s="22"/>
      <c r="BV116" s="64"/>
      <c r="BW116" s="65"/>
      <c r="BX116" s="64"/>
      <c r="BY116" s="65"/>
      <c r="BZ116" s="64"/>
      <c r="CA116" s="65"/>
      <c r="CB116" s="64"/>
      <c r="CC116" s="65"/>
      <c r="CD116" s="22"/>
      <c r="CE116" s="22"/>
      <c r="CF116" s="21"/>
      <c r="CG116" s="43"/>
      <c r="CH116" s="53"/>
      <c r="CI116" s="25"/>
      <c r="CJ116" s="21"/>
      <c r="CK116" s="22"/>
      <c r="CL116" s="22"/>
      <c r="CM116" s="64"/>
      <c r="CN116" s="65"/>
      <c r="CO116" s="64"/>
      <c r="CP116" s="65"/>
      <c r="CQ116" s="64"/>
      <c r="CR116" s="65"/>
      <c r="CS116" s="64"/>
      <c r="CT116" s="65"/>
      <c r="CU116" s="22"/>
      <c r="CV116" s="22"/>
      <c r="CW116" s="21"/>
      <c r="CX116" s="43"/>
      <c r="CY116" s="53"/>
      <c r="CZ116" s="25"/>
      <c r="DA116" s="21"/>
      <c r="DB116" s="22"/>
      <c r="DC116" s="22"/>
      <c r="DD116" s="64"/>
      <c r="DE116" s="65"/>
      <c r="DF116" s="64"/>
      <c r="DG116" s="65"/>
      <c r="DH116" s="64"/>
      <c r="DI116" s="65"/>
      <c r="DJ116" s="64"/>
      <c r="DK116" s="65"/>
      <c r="DL116" s="22"/>
      <c r="DM116" s="22"/>
      <c r="DN116" s="21"/>
      <c r="DO116" s="43"/>
      <c r="DP116" s="53"/>
      <c r="DQ116" s="25"/>
      <c r="DR116" s="21"/>
      <c r="DS116" s="22"/>
      <c r="DT116" s="22"/>
      <c r="DU116" s="64"/>
      <c r="DV116" s="65"/>
      <c r="DW116" s="64"/>
      <c r="DX116" s="65"/>
      <c r="DY116" s="64"/>
      <c r="DZ116" s="65"/>
      <c r="EA116" s="64"/>
      <c r="EB116" s="65"/>
      <c r="EC116" s="22"/>
      <c r="ED116" s="22"/>
      <c r="EE116" s="21"/>
      <c r="EF116" s="43"/>
    </row>
    <row r="117" spans="2:137" ht="18" customHeight="1" x14ac:dyDescent="0.5"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4"/>
      <c r="R117" s="54"/>
      <c r="S117" s="3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4"/>
      <c r="AI117" s="53"/>
      <c r="AJ117" s="3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4"/>
      <c r="AZ117" s="53"/>
      <c r="BA117" s="3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4"/>
      <c r="BQ117" s="53"/>
      <c r="BR117" s="3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4"/>
      <c r="CH117" s="53"/>
      <c r="CI117" s="3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4"/>
      <c r="CY117" s="53"/>
      <c r="CZ117" s="3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4"/>
      <c r="DP117" s="53"/>
      <c r="DQ117" s="3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4"/>
    </row>
    <row r="118" spans="2:137" ht="18" customHeight="1" x14ac:dyDescent="0.5">
      <c r="B118" s="45"/>
      <c r="C118" s="96" t="str">
        <f ca="1">GetHexStr(C103:P116)</f>
        <v>(1,-2,5,);(0,0,5,);(-1,2,5,);</v>
      </c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8"/>
      <c r="Q118" s="44"/>
      <c r="R118" s="54"/>
      <c r="S118" s="45"/>
      <c r="T118" s="96" t="str">
        <f ca="1">GetHexStr(T103:AG116)</f>
        <v>(-1,-2,5,);(0,0,5,);(1,2,5,);</v>
      </c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8"/>
      <c r="AH118" s="44"/>
      <c r="AI118" s="53"/>
      <c r="AJ118" s="45"/>
      <c r="AK118" s="96" t="str">
        <f ca="1">GetHexStr(AK103:AX116)</f>
        <v>(-1,-2,2,);(-2,0,2,);(0,0,2,);</v>
      </c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8"/>
      <c r="AY118" s="44"/>
      <c r="AZ118" s="53"/>
      <c r="BA118" s="45"/>
      <c r="BB118" s="96" t="str">
        <f ca="1">GetHexStr(BB103:BO116)</f>
        <v>(-1,-2,2,);(1,-2,2,);(-2,0,2,);</v>
      </c>
      <c r="BC118" s="97"/>
      <c r="BD118" s="97"/>
      <c r="BE118" s="97"/>
      <c r="BF118" s="97"/>
      <c r="BG118" s="97"/>
      <c r="BH118" s="97"/>
      <c r="BI118" s="97"/>
      <c r="BJ118" s="97"/>
      <c r="BK118" s="97"/>
      <c r="BL118" s="97"/>
      <c r="BM118" s="97"/>
      <c r="BN118" s="97"/>
      <c r="BO118" s="98"/>
      <c r="BP118" s="44"/>
      <c r="BQ118" s="53"/>
      <c r="BR118" s="45"/>
      <c r="BS118" s="96" t="str">
        <f ca="1">GetHexStr(BS103:CF116)</f>
        <v>(-1,-2,2,);(1,-2,2,);(2,0,2,);</v>
      </c>
      <c r="BT118" s="97"/>
      <c r="BU118" s="97"/>
      <c r="BV118" s="97"/>
      <c r="BW118" s="97"/>
      <c r="BX118" s="97"/>
      <c r="BY118" s="97"/>
      <c r="BZ118" s="97"/>
      <c r="CA118" s="97"/>
      <c r="CB118" s="97"/>
      <c r="CC118" s="97"/>
      <c r="CD118" s="97"/>
      <c r="CE118" s="97"/>
      <c r="CF118" s="98"/>
      <c r="CG118" s="44"/>
      <c r="CH118" s="53"/>
      <c r="CI118" s="45"/>
      <c r="CJ118" s="96" t="str">
        <f ca="1">GetHexStr(CJ103:CW116)</f>
        <v>(1,-2,2,);(2,0,2,);(1,2,2,);</v>
      </c>
      <c r="CK118" s="97"/>
      <c r="CL118" s="97"/>
      <c r="CM118" s="97"/>
      <c r="CN118" s="97"/>
      <c r="CO118" s="97"/>
      <c r="CP118" s="97"/>
      <c r="CQ118" s="97"/>
      <c r="CR118" s="97"/>
      <c r="CS118" s="97"/>
      <c r="CT118" s="97"/>
      <c r="CU118" s="97"/>
      <c r="CV118" s="97"/>
      <c r="CW118" s="98"/>
      <c r="CX118" s="44"/>
      <c r="CY118" s="53"/>
      <c r="CZ118" s="45"/>
      <c r="DA118" s="96" t="str">
        <f ca="1">GetHexStr(DA103:DN116)</f>
        <v>(2,0,2,);(-1,2,2,);(1,2,2,);</v>
      </c>
      <c r="DB118" s="97"/>
      <c r="DC118" s="97"/>
      <c r="DD118" s="97"/>
      <c r="DE118" s="97"/>
      <c r="DF118" s="97"/>
      <c r="DG118" s="97"/>
      <c r="DH118" s="97"/>
      <c r="DI118" s="97"/>
      <c r="DJ118" s="97"/>
      <c r="DK118" s="97"/>
      <c r="DL118" s="97"/>
      <c r="DM118" s="97"/>
      <c r="DN118" s="98"/>
      <c r="DO118" s="44"/>
      <c r="DP118" s="53"/>
      <c r="DQ118" s="45"/>
      <c r="DR118" s="96" t="str">
        <f ca="1">GetHexStr(DR103:EE116)</f>
        <v>(-2,0,2,);(-1,2,2,);(1,2,2,);</v>
      </c>
      <c r="DS118" s="97"/>
      <c r="DT118" s="97"/>
      <c r="DU118" s="97"/>
      <c r="DV118" s="97"/>
      <c r="DW118" s="97"/>
      <c r="DX118" s="97"/>
      <c r="DY118" s="97"/>
      <c r="DZ118" s="97"/>
      <c r="EA118" s="97"/>
      <c r="EB118" s="97"/>
      <c r="EC118" s="97"/>
      <c r="ED118" s="97"/>
      <c r="EE118" s="98"/>
      <c r="EF118" s="44"/>
    </row>
    <row r="119" spans="2:137" ht="18" customHeight="1" x14ac:dyDescent="0.5">
      <c r="B119" s="45"/>
      <c r="C119" s="99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1"/>
      <c r="Q119" s="44"/>
      <c r="R119" s="54"/>
      <c r="S119" s="45"/>
      <c r="T119" s="99"/>
      <c r="U119" s="100"/>
      <c r="V119" s="100"/>
      <c r="W119" s="100"/>
      <c r="X119" s="100"/>
      <c r="Y119" s="100"/>
      <c r="Z119" s="100"/>
      <c r="AA119" s="100"/>
      <c r="AB119" s="100"/>
      <c r="AC119" s="100"/>
      <c r="AD119" s="100"/>
      <c r="AE119" s="100"/>
      <c r="AF119" s="100"/>
      <c r="AG119" s="101"/>
      <c r="AH119" s="44"/>
      <c r="AI119" s="53"/>
      <c r="AJ119" s="45"/>
      <c r="AK119" s="99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1"/>
      <c r="AY119" s="44"/>
      <c r="AZ119" s="53"/>
      <c r="BA119" s="45"/>
      <c r="BB119" s="99"/>
      <c r="BC119" s="100"/>
      <c r="BD119" s="100"/>
      <c r="BE119" s="100"/>
      <c r="BF119" s="100"/>
      <c r="BG119" s="100"/>
      <c r="BH119" s="100"/>
      <c r="BI119" s="100"/>
      <c r="BJ119" s="100"/>
      <c r="BK119" s="100"/>
      <c r="BL119" s="100"/>
      <c r="BM119" s="100"/>
      <c r="BN119" s="100"/>
      <c r="BO119" s="101"/>
      <c r="BP119" s="44"/>
      <c r="BQ119" s="53"/>
      <c r="BR119" s="45"/>
      <c r="BS119" s="99"/>
      <c r="BT119" s="100"/>
      <c r="BU119" s="100"/>
      <c r="BV119" s="100"/>
      <c r="BW119" s="100"/>
      <c r="BX119" s="100"/>
      <c r="BY119" s="100"/>
      <c r="BZ119" s="100"/>
      <c r="CA119" s="100"/>
      <c r="CB119" s="100"/>
      <c r="CC119" s="100"/>
      <c r="CD119" s="100"/>
      <c r="CE119" s="100"/>
      <c r="CF119" s="101"/>
      <c r="CG119" s="44"/>
      <c r="CH119" s="53"/>
      <c r="CI119" s="45"/>
      <c r="CJ119" s="99"/>
      <c r="CK119" s="100"/>
      <c r="CL119" s="100"/>
      <c r="CM119" s="100"/>
      <c r="CN119" s="100"/>
      <c r="CO119" s="100"/>
      <c r="CP119" s="100"/>
      <c r="CQ119" s="100"/>
      <c r="CR119" s="100"/>
      <c r="CS119" s="100"/>
      <c r="CT119" s="100"/>
      <c r="CU119" s="100"/>
      <c r="CV119" s="100"/>
      <c r="CW119" s="101"/>
      <c r="CX119" s="44"/>
      <c r="CY119" s="53"/>
      <c r="CZ119" s="45"/>
      <c r="DA119" s="99"/>
      <c r="DB119" s="100"/>
      <c r="DC119" s="100"/>
      <c r="DD119" s="100"/>
      <c r="DE119" s="100"/>
      <c r="DF119" s="100"/>
      <c r="DG119" s="100"/>
      <c r="DH119" s="100"/>
      <c r="DI119" s="100"/>
      <c r="DJ119" s="100"/>
      <c r="DK119" s="100"/>
      <c r="DL119" s="100"/>
      <c r="DM119" s="100"/>
      <c r="DN119" s="101"/>
      <c r="DO119" s="44"/>
      <c r="DP119" s="53"/>
      <c r="DQ119" s="45"/>
      <c r="DR119" s="99"/>
      <c r="DS119" s="100"/>
      <c r="DT119" s="100"/>
      <c r="DU119" s="100"/>
      <c r="DV119" s="100"/>
      <c r="DW119" s="100"/>
      <c r="DX119" s="100"/>
      <c r="DY119" s="100"/>
      <c r="DZ119" s="100"/>
      <c r="EA119" s="100"/>
      <c r="EB119" s="100"/>
      <c r="EC119" s="100"/>
      <c r="ED119" s="100"/>
      <c r="EE119" s="101"/>
      <c r="EF119" s="44"/>
    </row>
    <row r="120" spans="2:137" ht="18" customHeight="1" thickBot="1" x14ac:dyDescent="0.55000000000000004">
      <c r="B120" s="46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8"/>
      <c r="R120" s="54"/>
      <c r="S120" s="46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8"/>
      <c r="AI120" s="53"/>
      <c r="AJ120" s="46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8"/>
      <c r="AZ120" s="53"/>
      <c r="BA120" s="46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8"/>
      <c r="BQ120" s="53"/>
      <c r="BR120" s="46"/>
      <c r="BS120" s="47"/>
      <c r="BT120" s="47"/>
      <c r="BU120" s="47"/>
      <c r="BV120" s="47"/>
      <c r="BW120" s="47"/>
      <c r="BX120" s="47"/>
      <c r="BY120" s="47"/>
      <c r="BZ120" s="47"/>
      <c r="CA120" s="47"/>
      <c r="CB120" s="47"/>
      <c r="CC120" s="47"/>
      <c r="CD120" s="47"/>
      <c r="CE120" s="47"/>
      <c r="CF120" s="47"/>
      <c r="CG120" s="48"/>
      <c r="CH120" s="53"/>
      <c r="CI120" s="46"/>
      <c r="CJ120" s="47"/>
      <c r="CK120" s="47"/>
      <c r="CL120" s="47"/>
      <c r="CM120" s="47"/>
      <c r="CN120" s="47"/>
      <c r="CO120" s="47"/>
      <c r="CP120" s="47"/>
      <c r="CQ120" s="47"/>
      <c r="CR120" s="47"/>
      <c r="CS120" s="47"/>
      <c r="CT120" s="47"/>
      <c r="CU120" s="47"/>
      <c r="CV120" s="47"/>
      <c r="CW120" s="47"/>
      <c r="CX120" s="48"/>
      <c r="CY120" s="53"/>
      <c r="CZ120" s="46"/>
      <c r="DA120" s="47"/>
      <c r="DB120" s="47"/>
      <c r="DC120" s="47"/>
      <c r="DD120" s="47"/>
      <c r="DE120" s="47"/>
      <c r="DF120" s="47"/>
      <c r="DG120" s="47"/>
      <c r="DH120" s="47"/>
      <c r="DI120" s="47"/>
      <c r="DJ120" s="47"/>
      <c r="DK120" s="47"/>
      <c r="DL120" s="47"/>
      <c r="DM120" s="47"/>
      <c r="DN120" s="47"/>
      <c r="DO120" s="48"/>
      <c r="DP120" s="53"/>
      <c r="DQ120" s="46"/>
      <c r="DR120" s="47"/>
      <c r="DS120" s="47"/>
      <c r="DT120" s="47"/>
      <c r="DU120" s="47"/>
      <c r="DV120" s="47"/>
      <c r="DW120" s="47"/>
      <c r="DX120" s="47"/>
      <c r="DY120" s="47"/>
      <c r="DZ120" s="47"/>
      <c r="EA120" s="47"/>
      <c r="EB120" s="47"/>
      <c r="EC120" s="47"/>
      <c r="ED120" s="47"/>
      <c r="EE120" s="47"/>
      <c r="EF120" s="48"/>
    </row>
    <row r="121" spans="2:137" ht="18" customHeight="1" thickBot="1" x14ac:dyDescent="0.55000000000000004"/>
    <row r="122" spans="2:137" ht="18" customHeight="1" x14ac:dyDescent="0.5">
      <c r="B122" s="108">
        <v>5</v>
      </c>
      <c r="C122" s="10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42"/>
      <c r="S122" s="108">
        <v>5</v>
      </c>
      <c r="T122" s="111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42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</row>
    <row r="123" spans="2:137" ht="18" customHeight="1" thickBot="1" x14ac:dyDescent="0.55000000000000004">
      <c r="B123" s="104"/>
      <c r="C123" s="105"/>
      <c r="D123" s="22"/>
      <c r="E123" s="22"/>
      <c r="F123" s="62"/>
      <c r="G123" s="63"/>
      <c r="H123" s="62"/>
      <c r="I123" s="63"/>
      <c r="J123" s="62"/>
      <c r="K123" s="63"/>
      <c r="L123" s="62"/>
      <c r="M123" s="63"/>
      <c r="N123" s="22"/>
      <c r="O123" s="22"/>
      <c r="P123" s="21"/>
      <c r="Q123" s="43"/>
      <c r="S123" s="112"/>
      <c r="T123" s="113"/>
      <c r="U123" s="22"/>
      <c r="V123" s="22"/>
      <c r="W123" s="62"/>
      <c r="X123" s="114"/>
      <c r="Y123" s="62"/>
      <c r="Z123" s="63"/>
      <c r="AA123" s="62"/>
      <c r="AB123" s="63"/>
      <c r="AC123" s="62"/>
      <c r="AD123" s="63"/>
      <c r="AE123" s="22"/>
      <c r="AF123" s="22"/>
      <c r="AG123" s="21"/>
      <c r="AH123" s="43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</row>
    <row r="124" spans="2:137" ht="18" customHeight="1" x14ac:dyDescent="0.5">
      <c r="B124" s="25"/>
      <c r="C124" s="21"/>
      <c r="D124" s="22"/>
      <c r="E124" s="22"/>
      <c r="F124" s="64"/>
      <c r="G124" s="65"/>
      <c r="H124" s="64"/>
      <c r="I124" s="65"/>
      <c r="J124" s="64"/>
      <c r="K124" s="65"/>
      <c r="L124" s="64"/>
      <c r="M124" s="65"/>
      <c r="N124" s="22"/>
      <c r="O124" s="22"/>
      <c r="P124" s="21"/>
      <c r="Q124" s="43"/>
      <c r="S124" s="25"/>
      <c r="T124" s="21"/>
      <c r="U124" s="22"/>
      <c r="V124" s="22"/>
      <c r="W124" s="115"/>
      <c r="X124" s="116"/>
      <c r="Y124" s="64"/>
      <c r="Z124" s="65"/>
      <c r="AA124" s="64"/>
      <c r="AB124" s="65"/>
      <c r="AC124" s="64"/>
      <c r="AD124" s="65"/>
      <c r="AE124" s="22"/>
      <c r="AF124" s="22"/>
      <c r="AG124" s="21"/>
      <c r="AH124" s="43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</row>
    <row r="125" spans="2:137" ht="18" customHeight="1" x14ac:dyDescent="0.5">
      <c r="B125" s="25"/>
      <c r="C125" s="22"/>
      <c r="D125" s="22"/>
      <c r="E125" s="62"/>
      <c r="F125" s="63"/>
      <c r="G125" s="62"/>
      <c r="H125" s="63"/>
      <c r="I125" s="62"/>
      <c r="J125" s="63"/>
      <c r="K125" s="62"/>
      <c r="L125" s="63"/>
      <c r="M125" s="62"/>
      <c r="N125" s="63"/>
      <c r="O125" s="22"/>
      <c r="P125" s="22"/>
      <c r="Q125" s="43"/>
      <c r="S125" s="25"/>
      <c r="T125" s="22"/>
      <c r="U125" s="22"/>
      <c r="V125" s="62"/>
      <c r="W125" s="63"/>
      <c r="X125" s="62"/>
      <c r="Y125" s="63"/>
      <c r="Z125" s="62"/>
      <c r="AA125" s="63"/>
      <c r="AB125" s="62"/>
      <c r="AC125" s="63"/>
      <c r="AD125" s="62"/>
      <c r="AE125" s="63"/>
      <c r="AF125" s="22"/>
      <c r="AG125" s="22"/>
      <c r="AH125" s="43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</row>
    <row r="126" spans="2:137" ht="18" customHeight="1" x14ac:dyDescent="0.5">
      <c r="B126" s="25"/>
      <c r="C126" s="22"/>
      <c r="D126" s="22"/>
      <c r="E126" s="64"/>
      <c r="F126" s="65"/>
      <c r="G126" s="64"/>
      <c r="H126" s="65"/>
      <c r="I126" s="64"/>
      <c r="J126" s="65"/>
      <c r="K126" s="64"/>
      <c r="L126" s="65"/>
      <c r="M126" s="64"/>
      <c r="N126" s="65"/>
      <c r="O126" s="22"/>
      <c r="P126" s="22"/>
      <c r="Q126" s="43"/>
      <c r="S126" s="25"/>
      <c r="T126" s="22"/>
      <c r="U126" s="22"/>
      <c r="V126" s="64"/>
      <c r="W126" s="65"/>
      <c r="X126" s="64"/>
      <c r="Y126" s="65"/>
      <c r="Z126" s="64"/>
      <c r="AA126" s="65"/>
      <c r="AB126" s="64"/>
      <c r="AC126" s="65"/>
      <c r="AD126" s="64"/>
      <c r="AE126" s="65"/>
      <c r="AF126" s="22"/>
      <c r="AG126" s="22"/>
      <c r="AH126" s="43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</row>
    <row r="127" spans="2:137" ht="18" customHeight="1" x14ac:dyDescent="0.5">
      <c r="B127" s="25"/>
      <c r="C127" s="22"/>
      <c r="D127" s="62"/>
      <c r="E127" s="63"/>
      <c r="F127" s="62"/>
      <c r="G127" s="63"/>
      <c r="H127" s="67">
        <v>2</v>
      </c>
      <c r="I127" s="63"/>
      <c r="J127" s="62"/>
      <c r="K127" s="63"/>
      <c r="L127" s="62"/>
      <c r="M127" s="63"/>
      <c r="N127" s="62"/>
      <c r="O127" s="63"/>
      <c r="P127" s="22"/>
      <c r="Q127" s="43"/>
      <c r="S127" s="25"/>
      <c r="T127" s="22"/>
      <c r="U127" s="62"/>
      <c r="V127" s="63"/>
      <c r="W127" s="62"/>
      <c r="X127" s="63"/>
      <c r="Y127" s="67">
        <v>2</v>
      </c>
      <c r="Z127" s="63"/>
      <c r="AA127" s="67">
        <v>2</v>
      </c>
      <c r="AB127" s="63"/>
      <c r="AC127" s="62"/>
      <c r="AD127" s="63"/>
      <c r="AE127" s="62"/>
      <c r="AF127" s="63"/>
      <c r="AG127" s="22"/>
      <c r="AH127" s="43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</row>
    <row r="128" spans="2:137" ht="18" customHeight="1" x14ac:dyDescent="0.5">
      <c r="B128" s="25"/>
      <c r="C128" s="22"/>
      <c r="D128" s="64"/>
      <c r="E128" s="65"/>
      <c r="F128" s="64"/>
      <c r="G128" s="65"/>
      <c r="H128" s="64"/>
      <c r="I128" s="65"/>
      <c r="J128" s="64"/>
      <c r="K128" s="65"/>
      <c r="L128" s="64"/>
      <c r="M128" s="65"/>
      <c r="N128" s="64"/>
      <c r="O128" s="65"/>
      <c r="P128" s="22"/>
      <c r="Q128" s="43"/>
      <c r="S128" s="25"/>
      <c r="T128" s="22"/>
      <c r="U128" s="64"/>
      <c r="V128" s="65"/>
      <c r="W128" s="64"/>
      <c r="X128" s="65"/>
      <c r="Y128" s="64"/>
      <c r="Z128" s="65"/>
      <c r="AA128" s="64"/>
      <c r="AB128" s="65"/>
      <c r="AC128" s="64"/>
      <c r="AD128" s="65"/>
      <c r="AE128" s="64"/>
      <c r="AF128" s="65"/>
      <c r="AG128" s="22"/>
      <c r="AH128" s="43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</row>
    <row r="129" spans="2:137" ht="18" customHeight="1" x14ac:dyDescent="0.5">
      <c r="B129" s="25"/>
      <c r="C129" s="62"/>
      <c r="D129" s="63"/>
      <c r="E129" s="62"/>
      <c r="F129" s="63"/>
      <c r="G129" s="67">
        <v>2</v>
      </c>
      <c r="H129" s="63"/>
      <c r="I129" s="62"/>
      <c r="J129" s="63"/>
      <c r="K129" s="62"/>
      <c r="L129" s="63"/>
      <c r="M129" s="62"/>
      <c r="N129" s="63"/>
      <c r="O129" s="62"/>
      <c r="P129" s="63"/>
      <c r="Q129" s="43"/>
      <c r="S129" s="25"/>
      <c r="T129" s="62"/>
      <c r="U129" s="63"/>
      <c r="V129" s="62"/>
      <c r="W129" s="63"/>
      <c r="X129" s="62"/>
      <c r="Y129" s="63"/>
      <c r="Z129" s="67">
        <v>2</v>
      </c>
      <c r="AA129" s="63"/>
      <c r="AB129" s="62"/>
      <c r="AC129" s="63"/>
      <c r="AD129" s="62"/>
      <c r="AE129" s="63"/>
      <c r="AF129" s="62"/>
      <c r="AG129" s="63"/>
      <c r="AH129" s="43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</row>
    <row r="130" spans="2:137" ht="18" customHeight="1" x14ac:dyDescent="0.5">
      <c r="B130" s="25"/>
      <c r="C130" s="64"/>
      <c r="D130" s="65"/>
      <c r="E130" s="64"/>
      <c r="F130" s="65"/>
      <c r="G130" s="64"/>
      <c r="H130" s="65"/>
      <c r="I130" s="64"/>
      <c r="J130" s="65"/>
      <c r="K130" s="64"/>
      <c r="L130" s="65"/>
      <c r="M130" s="64"/>
      <c r="N130" s="65"/>
      <c r="O130" s="64"/>
      <c r="P130" s="65"/>
      <c r="Q130" s="43"/>
      <c r="S130" s="25"/>
      <c r="T130" s="64"/>
      <c r="U130" s="65"/>
      <c r="V130" s="64"/>
      <c r="W130" s="65"/>
      <c r="X130" s="64"/>
      <c r="Y130" s="65"/>
      <c r="Z130" s="64"/>
      <c r="AA130" s="65"/>
      <c r="AB130" s="64"/>
      <c r="AC130" s="65"/>
      <c r="AD130" s="64"/>
      <c r="AE130" s="65"/>
      <c r="AF130" s="64"/>
      <c r="AG130" s="65"/>
      <c r="AH130" s="43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</row>
    <row r="131" spans="2:137" ht="18" customHeight="1" x14ac:dyDescent="0.5">
      <c r="B131" s="25"/>
      <c r="C131" s="22"/>
      <c r="D131" s="62"/>
      <c r="E131" s="63"/>
      <c r="F131" s="62"/>
      <c r="G131" s="63"/>
      <c r="H131" s="67">
        <v>2</v>
      </c>
      <c r="I131" s="63"/>
      <c r="J131" s="62"/>
      <c r="K131" s="63"/>
      <c r="L131" s="62"/>
      <c r="M131" s="63"/>
      <c r="N131" s="62"/>
      <c r="O131" s="63"/>
      <c r="P131" s="22"/>
      <c r="Q131" s="43"/>
      <c r="S131" s="25"/>
      <c r="T131" s="22"/>
      <c r="U131" s="62"/>
      <c r="V131" s="63"/>
      <c r="W131" s="62"/>
      <c r="X131" s="63"/>
      <c r="Y131" s="62"/>
      <c r="Z131" s="63"/>
      <c r="AA131" s="62"/>
      <c r="AB131" s="63"/>
      <c r="AC131" s="62"/>
      <c r="AD131" s="63"/>
      <c r="AE131" s="62"/>
      <c r="AF131" s="63"/>
      <c r="AG131" s="22"/>
      <c r="AH131" s="43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</row>
    <row r="132" spans="2:137" ht="18" customHeight="1" x14ac:dyDescent="0.5">
      <c r="B132" s="25"/>
      <c r="C132" s="22"/>
      <c r="D132" s="64"/>
      <c r="E132" s="65"/>
      <c r="F132" s="64"/>
      <c r="G132" s="65"/>
      <c r="H132" s="64"/>
      <c r="I132" s="65"/>
      <c r="J132" s="64"/>
      <c r="K132" s="65"/>
      <c r="L132" s="64"/>
      <c r="M132" s="65"/>
      <c r="N132" s="64"/>
      <c r="O132" s="65"/>
      <c r="P132" s="22"/>
      <c r="Q132" s="43"/>
      <c r="S132" s="25"/>
      <c r="T132" s="22"/>
      <c r="U132" s="64"/>
      <c r="V132" s="65"/>
      <c r="W132" s="64"/>
      <c r="X132" s="65"/>
      <c r="Y132" s="64"/>
      <c r="Z132" s="65"/>
      <c r="AA132" s="64"/>
      <c r="AB132" s="65"/>
      <c r="AC132" s="64"/>
      <c r="AD132" s="65"/>
      <c r="AE132" s="64"/>
      <c r="AF132" s="65"/>
      <c r="AG132" s="22"/>
      <c r="AH132" s="43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</row>
    <row r="133" spans="2:137" ht="18" customHeight="1" x14ac:dyDescent="0.5">
      <c r="B133" s="25"/>
      <c r="C133" s="22"/>
      <c r="D133" s="22"/>
      <c r="E133" s="62"/>
      <c r="F133" s="63"/>
      <c r="G133" s="62"/>
      <c r="H133" s="63"/>
      <c r="I133" s="62"/>
      <c r="J133" s="63"/>
      <c r="K133" s="62"/>
      <c r="L133" s="63"/>
      <c r="M133" s="62"/>
      <c r="N133" s="63"/>
      <c r="O133" s="22"/>
      <c r="P133" s="22"/>
      <c r="Q133" s="43"/>
      <c r="S133" s="25"/>
      <c r="T133" s="22"/>
      <c r="U133" s="22"/>
      <c r="V133" s="62"/>
      <c r="W133" s="63"/>
      <c r="X133" s="62"/>
      <c r="Y133" s="63"/>
      <c r="Z133" s="62"/>
      <c r="AA133" s="63"/>
      <c r="AB133" s="62"/>
      <c r="AC133" s="63"/>
      <c r="AD133" s="62"/>
      <c r="AE133" s="63"/>
      <c r="AF133" s="22"/>
      <c r="AG133" s="22"/>
      <c r="AH133" s="43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</row>
    <row r="134" spans="2:137" ht="18" customHeight="1" x14ac:dyDescent="0.5">
      <c r="B134" s="25"/>
      <c r="C134" s="22"/>
      <c r="D134" s="22"/>
      <c r="E134" s="64"/>
      <c r="F134" s="65"/>
      <c r="G134" s="64"/>
      <c r="H134" s="65"/>
      <c r="I134" s="64"/>
      <c r="J134" s="65"/>
      <c r="K134" s="64"/>
      <c r="L134" s="65"/>
      <c r="M134" s="64"/>
      <c r="N134" s="65"/>
      <c r="O134" s="22"/>
      <c r="P134" s="22"/>
      <c r="Q134" s="43"/>
      <c r="S134" s="25"/>
      <c r="T134" s="22"/>
      <c r="U134" s="22"/>
      <c r="V134" s="64"/>
      <c r="W134" s="65"/>
      <c r="X134" s="64"/>
      <c r="Y134" s="65"/>
      <c r="Z134" s="64"/>
      <c r="AA134" s="65"/>
      <c r="AB134" s="64"/>
      <c r="AC134" s="65"/>
      <c r="AD134" s="64"/>
      <c r="AE134" s="65"/>
      <c r="AF134" s="22"/>
      <c r="AG134" s="22"/>
      <c r="AH134" s="43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</row>
    <row r="135" spans="2:137" ht="18" customHeight="1" x14ac:dyDescent="0.5">
      <c r="B135" s="25"/>
      <c r="C135" s="21"/>
      <c r="D135" s="22"/>
      <c r="E135" s="22"/>
      <c r="F135" s="62"/>
      <c r="G135" s="63"/>
      <c r="H135" s="62"/>
      <c r="I135" s="63"/>
      <c r="J135" s="62"/>
      <c r="K135" s="63"/>
      <c r="L135" s="62"/>
      <c r="M135" s="63"/>
      <c r="N135" s="22"/>
      <c r="O135" s="22"/>
      <c r="P135" s="21"/>
      <c r="Q135" s="43"/>
      <c r="S135" s="25"/>
      <c r="T135" s="21"/>
      <c r="U135" s="22"/>
      <c r="V135" s="22"/>
      <c r="W135" s="62"/>
      <c r="X135" s="63"/>
      <c r="Y135" s="62"/>
      <c r="Z135" s="63"/>
      <c r="AA135" s="62"/>
      <c r="AB135" s="63"/>
      <c r="AC135" s="62"/>
      <c r="AD135" s="63"/>
      <c r="AE135" s="22"/>
      <c r="AF135" s="22"/>
      <c r="AG135" s="21"/>
      <c r="AH135" s="43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</row>
    <row r="136" spans="2:137" ht="18" customHeight="1" x14ac:dyDescent="0.5">
      <c r="B136" s="25"/>
      <c r="C136" s="21"/>
      <c r="D136" s="22"/>
      <c r="E136" s="22"/>
      <c r="F136" s="64"/>
      <c r="G136" s="65"/>
      <c r="H136" s="64"/>
      <c r="I136" s="65"/>
      <c r="J136" s="64"/>
      <c r="K136" s="65"/>
      <c r="L136" s="64"/>
      <c r="M136" s="65"/>
      <c r="N136" s="22"/>
      <c r="O136" s="22"/>
      <c r="P136" s="21"/>
      <c r="Q136" s="43"/>
      <c r="S136" s="25"/>
      <c r="T136" s="21"/>
      <c r="U136" s="22"/>
      <c r="V136" s="22"/>
      <c r="W136" s="64"/>
      <c r="X136" s="65"/>
      <c r="Y136" s="64"/>
      <c r="Z136" s="65"/>
      <c r="AA136" s="64"/>
      <c r="AB136" s="65"/>
      <c r="AC136" s="64"/>
      <c r="AD136" s="65"/>
      <c r="AE136" s="22"/>
      <c r="AF136" s="22"/>
      <c r="AG136" s="21"/>
      <c r="AH136" s="43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</row>
    <row r="137" spans="2:137" ht="18" customHeight="1" x14ac:dyDescent="0.5"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4"/>
      <c r="S137" s="3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</row>
    <row r="138" spans="2:137" ht="18" customHeight="1" x14ac:dyDescent="0.5">
      <c r="B138" s="45"/>
      <c r="C138" s="96" t="str">
        <f ca="1">GetHexStr(C123:P136)</f>
        <v>(-1,-2,2,);(-2,0,2,);(-1,2,2,);</v>
      </c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8"/>
      <c r="Q138" s="44"/>
      <c r="S138" s="45"/>
      <c r="T138" s="96" t="str">
        <f ca="1">GetHexStr(T123:AG136)</f>
        <v>(-1,-2,2,);(1,-2,2,);(0,0,2,);</v>
      </c>
      <c r="U138" s="117"/>
      <c r="V138" s="117"/>
      <c r="W138" s="117"/>
      <c r="X138" s="117"/>
      <c r="Y138" s="117"/>
      <c r="Z138" s="117"/>
      <c r="AA138" s="117"/>
      <c r="AB138" s="117"/>
      <c r="AC138" s="117"/>
      <c r="AD138" s="117"/>
      <c r="AE138" s="117"/>
      <c r="AF138" s="117"/>
      <c r="AG138" s="118"/>
      <c r="AH138" s="4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</row>
    <row r="139" spans="2:137" ht="18" customHeight="1" x14ac:dyDescent="0.5">
      <c r="B139" s="45"/>
      <c r="C139" s="99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1"/>
      <c r="Q139" s="44"/>
      <c r="S139" s="45"/>
      <c r="T139" s="119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  <c r="AE139" s="120"/>
      <c r="AF139" s="120"/>
      <c r="AG139" s="121"/>
      <c r="AH139" s="4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</row>
    <row r="140" spans="2:137" ht="18" customHeight="1" thickBot="1" x14ac:dyDescent="0.55000000000000004">
      <c r="B140" s="46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8"/>
      <c r="S140" s="46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8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</row>
    <row r="141" spans="2:137" ht="18" customHeight="1" x14ac:dyDescent="0.5">
      <c r="S141" s="34"/>
      <c r="W141" s="34"/>
    </row>
    <row r="142" spans="2:137" ht="18" customHeight="1" x14ac:dyDescent="0.5">
      <c r="S142" s="34"/>
    </row>
    <row r="143" spans="2:137" ht="18" customHeight="1" x14ac:dyDescent="0.5">
      <c r="S143" s="34"/>
    </row>
    <row r="145" spans="19:19" ht="18" customHeight="1" x14ac:dyDescent="0.5">
      <c r="S145" s="34"/>
    </row>
  </sheetData>
  <mergeCells count="1950">
    <mergeCell ref="V133:W134"/>
    <mergeCell ref="X133:Y134"/>
    <mergeCell ref="Z133:AA134"/>
    <mergeCell ref="AB133:AC134"/>
    <mergeCell ref="AD133:AE134"/>
    <mergeCell ref="W135:X136"/>
    <mergeCell ref="Y135:Z136"/>
    <mergeCell ref="AA135:AB136"/>
    <mergeCell ref="AC135:AD136"/>
    <mergeCell ref="T138:AG139"/>
    <mergeCell ref="U127:V128"/>
    <mergeCell ref="W127:X128"/>
    <mergeCell ref="Y127:Z128"/>
    <mergeCell ref="AA127:AB128"/>
    <mergeCell ref="AC127:AD128"/>
    <mergeCell ref="AE127:AF128"/>
    <mergeCell ref="T129:U130"/>
    <mergeCell ref="V129:W130"/>
    <mergeCell ref="X129:Y130"/>
    <mergeCell ref="Z129:AA130"/>
    <mergeCell ref="AB129:AC130"/>
    <mergeCell ref="AD129:AE130"/>
    <mergeCell ref="AF129:AG130"/>
    <mergeCell ref="U131:V132"/>
    <mergeCell ref="W131:X132"/>
    <mergeCell ref="Y131:Z132"/>
    <mergeCell ref="AA131:AB132"/>
    <mergeCell ref="AC131:AD132"/>
    <mergeCell ref="AE131:AF132"/>
    <mergeCell ref="CI82:CJ83"/>
    <mergeCell ref="CZ82:DA83"/>
    <mergeCell ref="DQ82:DR83"/>
    <mergeCell ref="B102:C103"/>
    <mergeCell ref="S102:T103"/>
    <mergeCell ref="AJ102:AK103"/>
    <mergeCell ref="BA102:BB103"/>
    <mergeCell ref="BR102:BS103"/>
    <mergeCell ref="CI102:CJ103"/>
    <mergeCell ref="CZ102:DA103"/>
    <mergeCell ref="DQ102:DR103"/>
    <mergeCell ref="BR42:BS43"/>
    <mergeCell ref="CI42:CJ43"/>
    <mergeCell ref="CZ42:DA43"/>
    <mergeCell ref="DQ42:DR43"/>
    <mergeCell ref="B62:C63"/>
    <mergeCell ref="S62:T63"/>
    <mergeCell ref="CZ62:DA63"/>
    <mergeCell ref="DQ62:DR63"/>
    <mergeCell ref="F103:G104"/>
    <mergeCell ref="H103:I104"/>
    <mergeCell ref="J103:K104"/>
    <mergeCell ref="L103:M104"/>
    <mergeCell ref="W103:X104"/>
    <mergeCell ref="Y103:Z104"/>
    <mergeCell ref="AA103:AB104"/>
    <mergeCell ref="AC103:AD104"/>
    <mergeCell ref="AN103:AO104"/>
    <mergeCell ref="DF95:DG96"/>
    <mergeCell ref="DH95:DI96"/>
    <mergeCell ref="DJ95:DK96"/>
    <mergeCell ref="CI2:CJ3"/>
    <mergeCell ref="CZ2:DA3"/>
    <mergeCell ref="DQ2:DR3"/>
    <mergeCell ref="B22:C23"/>
    <mergeCell ref="S22:T23"/>
    <mergeCell ref="AJ22:AK23"/>
    <mergeCell ref="BA22:BB23"/>
    <mergeCell ref="BR22:BS23"/>
    <mergeCell ref="CI22:CJ23"/>
    <mergeCell ref="CZ22:DA23"/>
    <mergeCell ref="DQ22:DR23"/>
    <mergeCell ref="F135:G136"/>
    <mergeCell ref="H135:I136"/>
    <mergeCell ref="J135:K136"/>
    <mergeCell ref="L135:M136"/>
    <mergeCell ref="C138:P139"/>
    <mergeCell ref="B2:C3"/>
    <mergeCell ref="S2:T3"/>
    <mergeCell ref="AJ2:AK3"/>
    <mergeCell ref="BA2:BB3"/>
    <mergeCell ref="B42:C43"/>
    <mergeCell ref="S42:T43"/>
    <mergeCell ref="AJ42:AK43"/>
    <mergeCell ref="BA42:BB43"/>
    <mergeCell ref="B82:C83"/>
    <mergeCell ref="S82:T83"/>
    <mergeCell ref="AJ82:AK83"/>
    <mergeCell ref="BA82:BB83"/>
    <mergeCell ref="B122:C123"/>
    <mergeCell ref="D131:E132"/>
    <mergeCell ref="F131:G132"/>
    <mergeCell ref="BR82:BS83"/>
    <mergeCell ref="H131:I132"/>
    <mergeCell ref="J131:K132"/>
    <mergeCell ref="L131:M132"/>
    <mergeCell ref="N131:O132"/>
    <mergeCell ref="E133:F134"/>
    <mergeCell ref="G133:H134"/>
    <mergeCell ref="I133:J134"/>
    <mergeCell ref="K133:L134"/>
    <mergeCell ref="M133:N134"/>
    <mergeCell ref="D127:E128"/>
    <mergeCell ref="F127:G128"/>
    <mergeCell ref="H127:I128"/>
    <mergeCell ref="J127:K128"/>
    <mergeCell ref="L127:M128"/>
    <mergeCell ref="N127:O128"/>
    <mergeCell ref="C129:D130"/>
    <mergeCell ref="E129:F130"/>
    <mergeCell ref="G129:H130"/>
    <mergeCell ref="I129:J130"/>
    <mergeCell ref="K129:L130"/>
    <mergeCell ref="M129:N130"/>
    <mergeCell ref="O129:P130"/>
    <mergeCell ref="DJ115:DK116"/>
    <mergeCell ref="DU115:DV116"/>
    <mergeCell ref="DW115:DX116"/>
    <mergeCell ref="DY115:DZ116"/>
    <mergeCell ref="EA115:EB116"/>
    <mergeCell ref="C118:P119"/>
    <mergeCell ref="T118:AG119"/>
    <mergeCell ref="AK118:AX119"/>
    <mergeCell ref="BB118:BO119"/>
    <mergeCell ref="BS118:CF119"/>
    <mergeCell ref="CJ118:CW119"/>
    <mergeCell ref="DA118:DN119"/>
    <mergeCell ref="DR118:EE119"/>
    <mergeCell ref="BZ115:CA116"/>
    <mergeCell ref="CB115:CC116"/>
    <mergeCell ref="CM115:CN116"/>
    <mergeCell ref="CO115:CP116"/>
    <mergeCell ref="CQ115:CR116"/>
    <mergeCell ref="CS115:CT116"/>
    <mergeCell ref="DD115:DE116"/>
    <mergeCell ref="DF115:DG116"/>
    <mergeCell ref="DH115:DI116"/>
    <mergeCell ref="BX115:BY116"/>
    <mergeCell ref="CL113:CM114"/>
    <mergeCell ref="CN113:CO114"/>
    <mergeCell ref="CP113:CQ114"/>
    <mergeCell ref="CR113:CS114"/>
    <mergeCell ref="CT113:CU114"/>
    <mergeCell ref="DC113:DD114"/>
    <mergeCell ref="DE113:DF114"/>
    <mergeCell ref="DG113:DH114"/>
    <mergeCell ref="F123:G124"/>
    <mergeCell ref="H123:I124"/>
    <mergeCell ref="J123:K124"/>
    <mergeCell ref="L123:M124"/>
    <mergeCell ref="E125:F126"/>
    <mergeCell ref="G125:H126"/>
    <mergeCell ref="I125:J126"/>
    <mergeCell ref="K125:L126"/>
    <mergeCell ref="M125:N126"/>
    <mergeCell ref="S122:T123"/>
    <mergeCell ref="W123:X124"/>
    <mergeCell ref="Y123:Z124"/>
    <mergeCell ref="AA123:AB124"/>
    <mergeCell ref="AC123:AD124"/>
    <mergeCell ref="V125:W126"/>
    <mergeCell ref="X125:Y126"/>
    <mergeCell ref="Z125:AA126"/>
    <mergeCell ref="AB125:AC126"/>
    <mergeCell ref="AD125:AE126"/>
    <mergeCell ref="F115:G116"/>
    <mergeCell ref="H115:I116"/>
    <mergeCell ref="J115:K116"/>
    <mergeCell ref="L115:M116"/>
    <mergeCell ref="W115:X116"/>
    <mergeCell ref="Y115:Z116"/>
    <mergeCell ref="AA115:AB116"/>
    <mergeCell ref="AC115:AD116"/>
    <mergeCell ref="AN115:AO116"/>
    <mergeCell ref="AP115:AQ116"/>
    <mergeCell ref="AR115:AS116"/>
    <mergeCell ref="AT115:AU116"/>
    <mergeCell ref="BE115:BF116"/>
    <mergeCell ref="BG115:BH116"/>
    <mergeCell ref="BI115:BJ116"/>
    <mergeCell ref="BK115:BL116"/>
    <mergeCell ref="BV115:BW116"/>
    <mergeCell ref="DI113:DJ114"/>
    <mergeCell ref="BF113:BG114"/>
    <mergeCell ref="BH113:BI114"/>
    <mergeCell ref="BJ113:BK114"/>
    <mergeCell ref="BL113:BM114"/>
    <mergeCell ref="BU113:BV114"/>
    <mergeCell ref="BW113:BX114"/>
    <mergeCell ref="BY113:BZ114"/>
    <mergeCell ref="CA113:CB114"/>
    <mergeCell ref="CC113:CD114"/>
    <mergeCell ref="DJ111:DK112"/>
    <mergeCell ref="DL111:DM112"/>
    <mergeCell ref="DS111:DT112"/>
    <mergeCell ref="DU111:DV112"/>
    <mergeCell ref="DW111:DX112"/>
    <mergeCell ref="DY111:DZ112"/>
    <mergeCell ref="EA111:EB112"/>
    <mergeCell ref="CB111:CC112"/>
    <mergeCell ref="CD111:CE112"/>
    <mergeCell ref="CK111:CL112"/>
    <mergeCell ref="DK113:DL114"/>
    <mergeCell ref="DT113:DU114"/>
    <mergeCell ref="DV113:DW114"/>
    <mergeCell ref="DX113:DY114"/>
    <mergeCell ref="DZ113:EA114"/>
    <mergeCell ref="EB113:EC114"/>
    <mergeCell ref="EC111:ED112"/>
    <mergeCell ref="E113:F114"/>
    <mergeCell ref="G113:H114"/>
    <mergeCell ref="I113:J114"/>
    <mergeCell ref="K113:L114"/>
    <mergeCell ref="M113:N114"/>
    <mergeCell ref="V113:W114"/>
    <mergeCell ref="X113:Y114"/>
    <mergeCell ref="Z113:AA114"/>
    <mergeCell ref="AB113:AC114"/>
    <mergeCell ref="AD113:AE114"/>
    <mergeCell ref="AM113:AN114"/>
    <mergeCell ref="AO113:AP114"/>
    <mergeCell ref="AQ113:AR114"/>
    <mergeCell ref="AS113:AT114"/>
    <mergeCell ref="AU113:AV114"/>
    <mergeCell ref="BD113:BE114"/>
    <mergeCell ref="CM111:CN112"/>
    <mergeCell ref="CO111:CP112"/>
    <mergeCell ref="CQ111:CR112"/>
    <mergeCell ref="CS111:CT112"/>
    <mergeCell ref="CU111:CV112"/>
    <mergeCell ref="DB111:DC112"/>
    <mergeCell ref="DD111:DE112"/>
    <mergeCell ref="DF111:DG112"/>
    <mergeCell ref="DH111:DI112"/>
    <mergeCell ref="BK111:BL112"/>
    <mergeCell ref="BM111:BN112"/>
    <mergeCell ref="BT111:BU112"/>
    <mergeCell ref="BV111:BW112"/>
    <mergeCell ref="BX111:BY112"/>
    <mergeCell ref="BZ111:CA112"/>
    <mergeCell ref="EB109:EC110"/>
    <mergeCell ref="ED109:EE110"/>
    <mergeCell ref="D111:E112"/>
    <mergeCell ref="F111:G112"/>
    <mergeCell ref="H111:I112"/>
    <mergeCell ref="J111:K112"/>
    <mergeCell ref="L111:M112"/>
    <mergeCell ref="N111:O112"/>
    <mergeCell ref="U111:V112"/>
    <mergeCell ref="W111:X112"/>
    <mergeCell ref="Y111:Z112"/>
    <mergeCell ref="AA111:AB112"/>
    <mergeCell ref="AC111:AD112"/>
    <mergeCell ref="AE111:AF112"/>
    <mergeCell ref="AL111:AM112"/>
    <mergeCell ref="AN111:AO112"/>
    <mergeCell ref="AP111:AQ112"/>
    <mergeCell ref="AR111:AS112"/>
    <mergeCell ref="AT111:AU112"/>
    <mergeCell ref="AV111:AW112"/>
    <mergeCell ref="BC111:BD112"/>
    <mergeCell ref="BE111:BF112"/>
    <mergeCell ref="BG111:BH112"/>
    <mergeCell ref="BI111:BJ112"/>
    <mergeCell ref="DG109:DH110"/>
    <mergeCell ref="DI109:DJ110"/>
    <mergeCell ref="DK109:DL110"/>
    <mergeCell ref="DM109:DN110"/>
    <mergeCell ref="DR109:DS110"/>
    <mergeCell ref="DT109:DU110"/>
    <mergeCell ref="DV109:DW110"/>
    <mergeCell ref="DX109:DY110"/>
    <mergeCell ref="AM109:AN110"/>
    <mergeCell ref="AO109:AP110"/>
    <mergeCell ref="AQ109:AR110"/>
    <mergeCell ref="DZ109:EA110"/>
    <mergeCell ref="CL109:CM110"/>
    <mergeCell ref="CN109:CO110"/>
    <mergeCell ref="CP109:CQ110"/>
    <mergeCell ref="CR109:CS110"/>
    <mergeCell ref="CT109:CU110"/>
    <mergeCell ref="CV109:CW110"/>
    <mergeCell ref="DA109:DB110"/>
    <mergeCell ref="DC109:DD110"/>
    <mergeCell ref="DE109:DF110"/>
    <mergeCell ref="BN109:BO110"/>
    <mergeCell ref="BS109:BT110"/>
    <mergeCell ref="BU109:BV110"/>
    <mergeCell ref="BW109:BX110"/>
    <mergeCell ref="BY109:BZ110"/>
    <mergeCell ref="CA109:CB110"/>
    <mergeCell ref="CC109:CD110"/>
    <mergeCell ref="CE109:CF110"/>
    <mergeCell ref="CJ109:CK110"/>
    <mergeCell ref="C109:D110"/>
    <mergeCell ref="E109:F110"/>
    <mergeCell ref="G109:H110"/>
    <mergeCell ref="I109:J110"/>
    <mergeCell ref="K109:L110"/>
    <mergeCell ref="M109:N110"/>
    <mergeCell ref="O109:P110"/>
    <mergeCell ref="T109:U110"/>
    <mergeCell ref="V109:W110"/>
    <mergeCell ref="DH107:DI108"/>
    <mergeCell ref="DJ107:DK108"/>
    <mergeCell ref="DL107:DM108"/>
    <mergeCell ref="DS107:DT108"/>
    <mergeCell ref="DU107:DV108"/>
    <mergeCell ref="DW107:DX108"/>
    <mergeCell ref="DY107:DZ108"/>
    <mergeCell ref="EA107:EB108"/>
    <mergeCell ref="AS109:AT110"/>
    <mergeCell ref="AU109:AV110"/>
    <mergeCell ref="AW109:AX110"/>
    <mergeCell ref="BB109:BC110"/>
    <mergeCell ref="BD109:BE110"/>
    <mergeCell ref="BF109:BG110"/>
    <mergeCell ref="BH109:BI110"/>
    <mergeCell ref="BJ109:BK110"/>
    <mergeCell ref="BL109:BM110"/>
    <mergeCell ref="X109:Y110"/>
    <mergeCell ref="Z109:AA110"/>
    <mergeCell ref="AB109:AC110"/>
    <mergeCell ref="AD109:AE110"/>
    <mergeCell ref="AF109:AG110"/>
    <mergeCell ref="AK109:AL110"/>
    <mergeCell ref="EC107:ED108"/>
    <mergeCell ref="CK107:CL108"/>
    <mergeCell ref="CM107:CN108"/>
    <mergeCell ref="CO107:CP108"/>
    <mergeCell ref="CQ107:CR108"/>
    <mergeCell ref="CS107:CT108"/>
    <mergeCell ref="CU107:CV108"/>
    <mergeCell ref="DB107:DC108"/>
    <mergeCell ref="DD107:DE108"/>
    <mergeCell ref="DF107:DG108"/>
    <mergeCell ref="BI107:BJ108"/>
    <mergeCell ref="BK107:BL108"/>
    <mergeCell ref="BM107:BN108"/>
    <mergeCell ref="BT107:BU108"/>
    <mergeCell ref="BV107:BW108"/>
    <mergeCell ref="BX107:BY108"/>
    <mergeCell ref="BZ107:CA108"/>
    <mergeCell ref="CB107:CC108"/>
    <mergeCell ref="CD107:CE108"/>
    <mergeCell ref="DX105:DY106"/>
    <mergeCell ref="DZ105:EA106"/>
    <mergeCell ref="EB105:EC106"/>
    <mergeCell ref="D107:E108"/>
    <mergeCell ref="F107:G108"/>
    <mergeCell ref="H107:I108"/>
    <mergeCell ref="J107:K108"/>
    <mergeCell ref="L107:M108"/>
    <mergeCell ref="N107:O108"/>
    <mergeCell ref="U107:V108"/>
    <mergeCell ref="W107:X108"/>
    <mergeCell ref="Y107:Z108"/>
    <mergeCell ref="AA107:AB108"/>
    <mergeCell ref="AC107:AD108"/>
    <mergeCell ref="AE107:AF108"/>
    <mergeCell ref="AL107:AM108"/>
    <mergeCell ref="AN107:AO108"/>
    <mergeCell ref="AP107:AQ108"/>
    <mergeCell ref="AR107:AS108"/>
    <mergeCell ref="AT107:AU108"/>
    <mergeCell ref="AV107:AW108"/>
    <mergeCell ref="BC107:BD108"/>
    <mergeCell ref="BE107:BF108"/>
    <mergeCell ref="BG107:BH108"/>
    <mergeCell ref="CR105:CS106"/>
    <mergeCell ref="CT105:CU106"/>
    <mergeCell ref="DC105:DD106"/>
    <mergeCell ref="DE105:DF106"/>
    <mergeCell ref="DG105:DH106"/>
    <mergeCell ref="DI105:DJ106"/>
    <mergeCell ref="DK105:DL106"/>
    <mergeCell ref="DT105:DU106"/>
    <mergeCell ref="DV105:DW106"/>
    <mergeCell ref="BL105:BM106"/>
    <mergeCell ref="BU105:BV106"/>
    <mergeCell ref="BW105:BX106"/>
    <mergeCell ref="BY105:BZ106"/>
    <mergeCell ref="CA105:CB106"/>
    <mergeCell ref="CC105:CD106"/>
    <mergeCell ref="CL105:CM106"/>
    <mergeCell ref="CN105:CO106"/>
    <mergeCell ref="CP105:CQ106"/>
    <mergeCell ref="DJ103:DK104"/>
    <mergeCell ref="DU103:DV104"/>
    <mergeCell ref="DW103:DX104"/>
    <mergeCell ref="DY103:DZ104"/>
    <mergeCell ref="EA103:EB104"/>
    <mergeCell ref="E105:F106"/>
    <mergeCell ref="G105:H106"/>
    <mergeCell ref="I105:J106"/>
    <mergeCell ref="K105:L106"/>
    <mergeCell ref="M105:N106"/>
    <mergeCell ref="V105:W106"/>
    <mergeCell ref="X105:Y106"/>
    <mergeCell ref="Z105:AA106"/>
    <mergeCell ref="AB105:AC106"/>
    <mergeCell ref="AD105:AE106"/>
    <mergeCell ref="AM105:AN106"/>
    <mergeCell ref="AO105:AP106"/>
    <mergeCell ref="AQ105:AR106"/>
    <mergeCell ref="AS105:AT106"/>
    <mergeCell ref="AU105:AV106"/>
    <mergeCell ref="BD105:BE106"/>
    <mergeCell ref="BF105:BG106"/>
    <mergeCell ref="BH105:BI106"/>
    <mergeCell ref="BJ105:BK106"/>
    <mergeCell ref="BZ103:CA104"/>
    <mergeCell ref="CB103:CC104"/>
    <mergeCell ref="CM103:CN104"/>
    <mergeCell ref="CO103:CP104"/>
    <mergeCell ref="CQ103:CR104"/>
    <mergeCell ref="CS103:CT104"/>
    <mergeCell ref="DD103:DE104"/>
    <mergeCell ref="DF103:DG104"/>
    <mergeCell ref="DH103:DI104"/>
    <mergeCell ref="AP103:AQ104"/>
    <mergeCell ref="AR103:AS104"/>
    <mergeCell ref="AT103:AU104"/>
    <mergeCell ref="BE103:BF104"/>
    <mergeCell ref="BG103:BH104"/>
    <mergeCell ref="BI103:BJ104"/>
    <mergeCell ref="BK103:BL104"/>
    <mergeCell ref="BV103:BW104"/>
    <mergeCell ref="BX103:BY104"/>
    <mergeCell ref="DU95:DV96"/>
    <mergeCell ref="DW95:DX96"/>
    <mergeCell ref="DY95:DZ96"/>
    <mergeCell ref="EA95:EB96"/>
    <mergeCell ref="C98:P99"/>
    <mergeCell ref="T98:AG99"/>
    <mergeCell ref="AK98:AX99"/>
    <mergeCell ref="BB98:BO99"/>
    <mergeCell ref="BS98:CF99"/>
    <mergeCell ref="CJ98:CW99"/>
    <mergeCell ref="DA98:DN99"/>
    <mergeCell ref="DR98:EE99"/>
    <mergeCell ref="BV95:BW96"/>
    <mergeCell ref="BX95:BY96"/>
    <mergeCell ref="BZ95:CA96"/>
    <mergeCell ref="CB95:CC96"/>
    <mergeCell ref="CM95:CN96"/>
    <mergeCell ref="CO95:CP96"/>
    <mergeCell ref="CQ95:CR96"/>
    <mergeCell ref="CS95:CT96"/>
    <mergeCell ref="DD95:DE96"/>
    <mergeCell ref="F95:G96"/>
    <mergeCell ref="H95:I96"/>
    <mergeCell ref="J95:K96"/>
    <mergeCell ref="L95:M96"/>
    <mergeCell ref="W95:X96"/>
    <mergeCell ref="Y95:Z96"/>
    <mergeCell ref="AA95:AB96"/>
    <mergeCell ref="AC95:AD96"/>
    <mergeCell ref="AN95:AO96"/>
    <mergeCell ref="AP95:AQ96"/>
    <mergeCell ref="AR95:AS96"/>
    <mergeCell ref="AT95:AU96"/>
    <mergeCell ref="BE95:BF96"/>
    <mergeCell ref="BG95:BH96"/>
    <mergeCell ref="BI95:BJ96"/>
    <mergeCell ref="BK95:BL96"/>
    <mergeCell ref="CA93:CB94"/>
    <mergeCell ref="BW93:BX94"/>
    <mergeCell ref="BY93:BZ94"/>
    <mergeCell ref="DF91:DG92"/>
    <mergeCell ref="DH91:DI92"/>
    <mergeCell ref="DJ91:DK92"/>
    <mergeCell ref="DL91:DM92"/>
    <mergeCell ref="DS91:DT92"/>
    <mergeCell ref="DU91:DV92"/>
    <mergeCell ref="DW91:DX92"/>
    <mergeCell ref="DG93:DH94"/>
    <mergeCell ref="DI93:DJ94"/>
    <mergeCell ref="DK93:DL94"/>
    <mergeCell ref="DT93:DU94"/>
    <mergeCell ref="DV93:DW94"/>
    <mergeCell ref="DX93:DY94"/>
    <mergeCell ref="DZ93:EA94"/>
    <mergeCell ref="EB93:EC94"/>
    <mergeCell ref="CC93:CD94"/>
    <mergeCell ref="CL93:CM94"/>
    <mergeCell ref="CN93:CO94"/>
    <mergeCell ref="CP93:CQ94"/>
    <mergeCell ref="CR93:CS94"/>
    <mergeCell ref="CT93:CU94"/>
    <mergeCell ref="DC93:DD94"/>
    <mergeCell ref="BG91:BH92"/>
    <mergeCell ref="BI91:BJ92"/>
    <mergeCell ref="BK91:BL92"/>
    <mergeCell ref="BM91:BN92"/>
    <mergeCell ref="BT91:BU92"/>
    <mergeCell ref="BV91:BW92"/>
    <mergeCell ref="BX91:BY92"/>
    <mergeCell ref="BZ91:CA92"/>
    <mergeCell ref="CB91:CC92"/>
    <mergeCell ref="DE93:DF94"/>
    <mergeCell ref="EC91:ED92"/>
    <mergeCell ref="E93:F94"/>
    <mergeCell ref="G93:H94"/>
    <mergeCell ref="I93:J94"/>
    <mergeCell ref="K93:L94"/>
    <mergeCell ref="M93:N94"/>
    <mergeCell ref="V93:W94"/>
    <mergeCell ref="X93:Y94"/>
    <mergeCell ref="Z93:AA94"/>
    <mergeCell ref="AB93:AC94"/>
    <mergeCell ref="AD93:AE94"/>
    <mergeCell ref="AM93:AN94"/>
    <mergeCell ref="AO93:AP94"/>
    <mergeCell ref="AQ93:AR94"/>
    <mergeCell ref="AS93:AT94"/>
    <mergeCell ref="AU93:AV94"/>
    <mergeCell ref="BD93:BE94"/>
    <mergeCell ref="BF93:BG94"/>
    <mergeCell ref="BH93:BI94"/>
    <mergeCell ref="BJ93:BK94"/>
    <mergeCell ref="BL93:BM94"/>
    <mergeCell ref="BU93:BV94"/>
    <mergeCell ref="DG89:DH90"/>
    <mergeCell ref="DI89:DJ90"/>
    <mergeCell ref="DK89:DL90"/>
    <mergeCell ref="DM89:DN90"/>
    <mergeCell ref="DR89:DS90"/>
    <mergeCell ref="DT89:DU90"/>
    <mergeCell ref="DY91:DZ92"/>
    <mergeCell ref="EA91:EB92"/>
    <mergeCell ref="CD91:CE92"/>
    <mergeCell ref="CK91:CL92"/>
    <mergeCell ref="CM91:CN92"/>
    <mergeCell ref="CO91:CP92"/>
    <mergeCell ref="CQ91:CR92"/>
    <mergeCell ref="CS91:CT92"/>
    <mergeCell ref="CU91:CV92"/>
    <mergeCell ref="DB91:DC92"/>
    <mergeCell ref="DD91:DE92"/>
    <mergeCell ref="BS89:BT90"/>
    <mergeCell ref="BU89:BV90"/>
    <mergeCell ref="BW89:BX90"/>
    <mergeCell ref="BY89:BZ90"/>
    <mergeCell ref="CA89:CB90"/>
    <mergeCell ref="CC89:CD90"/>
    <mergeCell ref="DX89:DY90"/>
    <mergeCell ref="DZ89:EA90"/>
    <mergeCell ref="EB89:EC90"/>
    <mergeCell ref="ED89:EE90"/>
    <mergeCell ref="D91:E92"/>
    <mergeCell ref="F91:G92"/>
    <mergeCell ref="H91:I92"/>
    <mergeCell ref="J91:K92"/>
    <mergeCell ref="L91:M92"/>
    <mergeCell ref="N91:O92"/>
    <mergeCell ref="U91:V92"/>
    <mergeCell ref="W91:X92"/>
    <mergeCell ref="Y91:Z92"/>
    <mergeCell ref="AA91:AB92"/>
    <mergeCell ref="AC91:AD92"/>
    <mergeCell ref="AE91:AF92"/>
    <mergeCell ref="AL91:AM92"/>
    <mergeCell ref="AN91:AO92"/>
    <mergeCell ref="AP91:AQ92"/>
    <mergeCell ref="AR91:AS92"/>
    <mergeCell ref="AT91:AU92"/>
    <mergeCell ref="AV91:AW92"/>
    <mergeCell ref="BC91:BD92"/>
    <mergeCell ref="BE91:BF92"/>
    <mergeCell ref="DC89:DD90"/>
    <mergeCell ref="DE89:DF90"/>
    <mergeCell ref="BD89:BE90"/>
    <mergeCell ref="BF89:BG90"/>
    <mergeCell ref="BH89:BI90"/>
    <mergeCell ref="DJ87:DK88"/>
    <mergeCell ref="DL87:DM88"/>
    <mergeCell ref="DS87:DT88"/>
    <mergeCell ref="DU87:DV88"/>
    <mergeCell ref="DW87:DX88"/>
    <mergeCell ref="DY87:DZ88"/>
    <mergeCell ref="EA87:EB88"/>
    <mergeCell ref="EC87:ED88"/>
    <mergeCell ref="CO87:CP88"/>
    <mergeCell ref="CQ87:CR88"/>
    <mergeCell ref="CS87:CT88"/>
    <mergeCell ref="CU87:CV88"/>
    <mergeCell ref="DB87:DC88"/>
    <mergeCell ref="DD87:DE88"/>
    <mergeCell ref="DF87:DG88"/>
    <mergeCell ref="DH87:DI88"/>
    <mergeCell ref="DV89:DW90"/>
    <mergeCell ref="CE89:CF90"/>
    <mergeCell ref="CJ89:CK90"/>
    <mergeCell ref="CL89:CM90"/>
    <mergeCell ref="CN89:CO90"/>
    <mergeCell ref="CP89:CQ90"/>
    <mergeCell ref="CR89:CS90"/>
    <mergeCell ref="CT89:CU90"/>
    <mergeCell ref="CV89:CW90"/>
    <mergeCell ref="DA89:DB90"/>
    <mergeCell ref="BJ89:BK90"/>
    <mergeCell ref="BL89:BM90"/>
    <mergeCell ref="BN89:BO90"/>
    <mergeCell ref="C89:D90"/>
    <mergeCell ref="E89:F90"/>
    <mergeCell ref="G89:H90"/>
    <mergeCell ref="I89:J90"/>
    <mergeCell ref="K89:L90"/>
    <mergeCell ref="M89:N90"/>
    <mergeCell ref="O89:P90"/>
    <mergeCell ref="T89:U90"/>
    <mergeCell ref="V89:W90"/>
    <mergeCell ref="X89:Y90"/>
    <mergeCell ref="Z89:AA90"/>
    <mergeCell ref="AB89:AC90"/>
    <mergeCell ref="AD89:AE90"/>
    <mergeCell ref="AF89:AG90"/>
    <mergeCell ref="AK89:AL90"/>
    <mergeCell ref="AM89:AN90"/>
    <mergeCell ref="CM87:CN88"/>
    <mergeCell ref="BK87:BL88"/>
    <mergeCell ref="BM87:BN88"/>
    <mergeCell ref="BT87:BU88"/>
    <mergeCell ref="BV87:BW88"/>
    <mergeCell ref="BX87:BY88"/>
    <mergeCell ref="BZ87:CA88"/>
    <mergeCell ref="CB87:CC88"/>
    <mergeCell ref="CD87:CE88"/>
    <mergeCell ref="CK87:CL88"/>
    <mergeCell ref="AO89:AP90"/>
    <mergeCell ref="AQ89:AR90"/>
    <mergeCell ref="AS89:AT90"/>
    <mergeCell ref="AU89:AV90"/>
    <mergeCell ref="AW89:AX90"/>
    <mergeCell ref="BB89:BC90"/>
    <mergeCell ref="DZ85:EA86"/>
    <mergeCell ref="EB85:EC86"/>
    <mergeCell ref="D87:E88"/>
    <mergeCell ref="F87:G88"/>
    <mergeCell ref="H87:I88"/>
    <mergeCell ref="J87:K88"/>
    <mergeCell ref="L87:M88"/>
    <mergeCell ref="N87:O88"/>
    <mergeCell ref="U87:V88"/>
    <mergeCell ref="W87:X88"/>
    <mergeCell ref="Y87:Z88"/>
    <mergeCell ref="AA87:AB88"/>
    <mergeCell ref="AC87:AD88"/>
    <mergeCell ref="AE87:AF88"/>
    <mergeCell ref="AL87:AM88"/>
    <mergeCell ref="AN87:AO88"/>
    <mergeCell ref="AP87:AQ88"/>
    <mergeCell ref="AR87:AS88"/>
    <mergeCell ref="AT87:AU88"/>
    <mergeCell ref="AV87:AW88"/>
    <mergeCell ref="BC87:BD88"/>
    <mergeCell ref="BE87:BF88"/>
    <mergeCell ref="BG87:BH88"/>
    <mergeCell ref="BI87:BJ88"/>
    <mergeCell ref="CT85:CU86"/>
    <mergeCell ref="DC85:DD86"/>
    <mergeCell ref="DE85:DF86"/>
    <mergeCell ref="DG85:DH86"/>
    <mergeCell ref="DI85:DJ86"/>
    <mergeCell ref="DK85:DL86"/>
    <mergeCell ref="DT85:DU86"/>
    <mergeCell ref="DV85:DW86"/>
    <mergeCell ref="DX85:DY86"/>
    <mergeCell ref="BU85:BV86"/>
    <mergeCell ref="BW85:BX86"/>
    <mergeCell ref="BY85:BZ86"/>
    <mergeCell ref="CA85:CB86"/>
    <mergeCell ref="CC85:CD86"/>
    <mergeCell ref="CL85:CM86"/>
    <mergeCell ref="CN85:CO86"/>
    <mergeCell ref="CP85:CQ86"/>
    <mergeCell ref="CR85:CS86"/>
    <mergeCell ref="DU83:DV84"/>
    <mergeCell ref="DW83:DX84"/>
    <mergeCell ref="DY83:DZ84"/>
    <mergeCell ref="EA83:EB84"/>
    <mergeCell ref="E85:F86"/>
    <mergeCell ref="G85:H86"/>
    <mergeCell ref="I85:J86"/>
    <mergeCell ref="K85:L86"/>
    <mergeCell ref="M85:N86"/>
    <mergeCell ref="V85:W86"/>
    <mergeCell ref="X85:Y86"/>
    <mergeCell ref="Z85:AA86"/>
    <mergeCell ref="AB85:AC86"/>
    <mergeCell ref="AD85:AE86"/>
    <mergeCell ref="AM85:AN86"/>
    <mergeCell ref="AO85:AP86"/>
    <mergeCell ref="AQ85:AR86"/>
    <mergeCell ref="AS85:AT86"/>
    <mergeCell ref="AU85:AV86"/>
    <mergeCell ref="BD85:BE86"/>
    <mergeCell ref="BF85:BG86"/>
    <mergeCell ref="BH85:BI86"/>
    <mergeCell ref="BJ85:BK86"/>
    <mergeCell ref="BL85:BM86"/>
    <mergeCell ref="CB83:CC84"/>
    <mergeCell ref="CM83:CN84"/>
    <mergeCell ref="CO83:CP84"/>
    <mergeCell ref="CQ83:CR84"/>
    <mergeCell ref="CS83:CT84"/>
    <mergeCell ref="DD83:DE84"/>
    <mergeCell ref="DF83:DG84"/>
    <mergeCell ref="DH83:DI84"/>
    <mergeCell ref="DJ83:DK84"/>
    <mergeCell ref="DU75:DV76"/>
    <mergeCell ref="DW75:DX76"/>
    <mergeCell ref="DY75:DZ76"/>
    <mergeCell ref="EA75:EB76"/>
    <mergeCell ref="DR78:EE79"/>
    <mergeCell ref="F83:G84"/>
    <mergeCell ref="H83:I84"/>
    <mergeCell ref="J83:K84"/>
    <mergeCell ref="L83:M84"/>
    <mergeCell ref="W83:X84"/>
    <mergeCell ref="Y83:Z84"/>
    <mergeCell ref="AA83:AB84"/>
    <mergeCell ref="AC83:AD84"/>
    <mergeCell ref="AN83:AO84"/>
    <mergeCell ref="AP83:AQ84"/>
    <mergeCell ref="AR83:AS84"/>
    <mergeCell ref="AT83:AU84"/>
    <mergeCell ref="BE83:BF84"/>
    <mergeCell ref="BG83:BH84"/>
    <mergeCell ref="BI83:BJ84"/>
    <mergeCell ref="BK83:BL84"/>
    <mergeCell ref="BV83:BW84"/>
    <mergeCell ref="BX83:BY84"/>
    <mergeCell ref="BZ83:CA84"/>
    <mergeCell ref="DU71:DV72"/>
    <mergeCell ref="DW71:DX72"/>
    <mergeCell ref="DY71:DZ72"/>
    <mergeCell ref="EA71:EB72"/>
    <mergeCell ref="EC71:ED72"/>
    <mergeCell ref="DT73:DU74"/>
    <mergeCell ref="DV73:DW74"/>
    <mergeCell ref="DX73:DY74"/>
    <mergeCell ref="DZ73:EA74"/>
    <mergeCell ref="EB73:EC74"/>
    <mergeCell ref="DA78:DN79"/>
    <mergeCell ref="DU63:DV64"/>
    <mergeCell ref="DW63:DX64"/>
    <mergeCell ref="DY63:DZ64"/>
    <mergeCell ref="EA63:EB64"/>
    <mergeCell ref="DT65:DU66"/>
    <mergeCell ref="DV65:DW66"/>
    <mergeCell ref="DX65:DY66"/>
    <mergeCell ref="DZ65:EA66"/>
    <mergeCell ref="EB65:EC66"/>
    <mergeCell ref="DS67:DT68"/>
    <mergeCell ref="DU67:DV68"/>
    <mergeCell ref="DW67:DX68"/>
    <mergeCell ref="DY67:DZ68"/>
    <mergeCell ref="EA67:EB68"/>
    <mergeCell ref="EC67:ED68"/>
    <mergeCell ref="DR69:DS70"/>
    <mergeCell ref="DT69:DU70"/>
    <mergeCell ref="DV69:DW70"/>
    <mergeCell ref="DX69:DY70"/>
    <mergeCell ref="DZ69:EA70"/>
    <mergeCell ref="EB69:EC70"/>
    <mergeCell ref="ED69:EE70"/>
    <mergeCell ref="DS71:DT72"/>
    <mergeCell ref="DC73:DD74"/>
    <mergeCell ref="DE73:DF74"/>
    <mergeCell ref="DG73:DH74"/>
    <mergeCell ref="DI73:DJ74"/>
    <mergeCell ref="DK73:DL74"/>
    <mergeCell ref="DD75:DE76"/>
    <mergeCell ref="DF75:DG76"/>
    <mergeCell ref="DH75:DI76"/>
    <mergeCell ref="DJ75:DK76"/>
    <mergeCell ref="DI69:DJ70"/>
    <mergeCell ref="DK69:DL70"/>
    <mergeCell ref="DM69:DN70"/>
    <mergeCell ref="DB71:DC72"/>
    <mergeCell ref="DD71:DE72"/>
    <mergeCell ref="DF71:DG72"/>
    <mergeCell ref="DH71:DI72"/>
    <mergeCell ref="DJ71:DK72"/>
    <mergeCell ref="DL71:DM72"/>
    <mergeCell ref="CM75:CN76"/>
    <mergeCell ref="CO75:CP76"/>
    <mergeCell ref="CQ75:CR76"/>
    <mergeCell ref="CS75:CT76"/>
    <mergeCell ref="CJ78:CW79"/>
    <mergeCell ref="DD63:DE64"/>
    <mergeCell ref="DF63:DG64"/>
    <mergeCell ref="DH63:DI64"/>
    <mergeCell ref="DJ63:DK64"/>
    <mergeCell ref="DC65:DD66"/>
    <mergeCell ref="DE65:DF66"/>
    <mergeCell ref="DG65:DH66"/>
    <mergeCell ref="DI65:DJ66"/>
    <mergeCell ref="DK65:DL66"/>
    <mergeCell ref="DB67:DC68"/>
    <mergeCell ref="DD67:DE68"/>
    <mergeCell ref="DF67:DG68"/>
    <mergeCell ref="DH67:DI68"/>
    <mergeCell ref="DJ67:DK68"/>
    <mergeCell ref="DL67:DM68"/>
    <mergeCell ref="DA69:DB70"/>
    <mergeCell ref="DC69:DD70"/>
    <mergeCell ref="DE69:DF70"/>
    <mergeCell ref="DG69:DH70"/>
    <mergeCell ref="CM71:CN72"/>
    <mergeCell ref="CO71:CP72"/>
    <mergeCell ref="CQ71:CR72"/>
    <mergeCell ref="CS71:CT72"/>
    <mergeCell ref="CU71:CV72"/>
    <mergeCell ref="CL73:CM74"/>
    <mergeCell ref="CN73:CO74"/>
    <mergeCell ref="CP73:CQ74"/>
    <mergeCell ref="CR73:CS74"/>
    <mergeCell ref="CT73:CU74"/>
    <mergeCell ref="BS78:CF79"/>
    <mergeCell ref="CM63:CN64"/>
    <mergeCell ref="CO63:CP64"/>
    <mergeCell ref="CQ63:CR64"/>
    <mergeCell ref="CS63:CT64"/>
    <mergeCell ref="CL65:CM66"/>
    <mergeCell ref="CN65:CO66"/>
    <mergeCell ref="CP65:CQ66"/>
    <mergeCell ref="CR65:CS66"/>
    <mergeCell ref="CT65:CU66"/>
    <mergeCell ref="CK67:CL68"/>
    <mergeCell ref="CM67:CN68"/>
    <mergeCell ref="CO67:CP68"/>
    <mergeCell ref="CQ67:CR68"/>
    <mergeCell ref="CS67:CT68"/>
    <mergeCell ref="CU67:CV68"/>
    <mergeCell ref="CJ69:CK70"/>
    <mergeCell ref="CL69:CM70"/>
    <mergeCell ref="CN69:CO70"/>
    <mergeCell ref="CP69:CQ70"/>
    <mergeCell ref="CR69:CS70"/>
    <mergeCell ref="CT69:CU70"/>
    <mergeCell ref="CV69:CW70"/>
    <mergeCell ref="CK71:CL72"/>
    <mergeCell ref="BU73:BV74"/>
    <mergeCell ref="BW73:BX74"/>
    <mergeCell ref="BY73:BZ74"/>
    <mergeCell ref="CA73:CB74"/>
    <mergeCell ref="CC73:CD74"/>
    <mergeCell ref="BV75:BW76"/>
    <mergeCell ref="BX75:BY76"/>
    <mergeCell ref="BZ75:CA76"/>
    <mergeCell ref="CB75:CC76"/>
    <mergeCell ref="CA69:CB70"/>
    <mergeCell ref="CC69:CD70"/>
    <mergeCell ref="CE69:CF70"/>
    <mergeCell ref="BT71:BU72"/>
    <mergeCell ref="BV71:BW72"/>
    <mergeCell ref="BX71:BY72"/>
    <mergeCell ref="BZ71:CA72"/>
    <mergeCell ref="CB71:CC72"/>
    <mergeCell ref="CD71:CE72"/>
    <mergeCell ref="BE75:BF76"/>
    <mergeCell ref="BG75:BH76"/>
    <mergeCell ref="BI75:BJ76"/>
    <mergeCell ref="BK75:BL76"/>
    <mergeCell ref="BB78:BO79"/>
    <mergeCell ref="BE71:BF72"/>
    <mergeCell ref="BG71:BH72"/>
    <mergeCell ref="BI71:BJ72"/>
    <mergeCell ref="BK71:BL72"/>
    <mergeCell ref="BM71:BN72"/>
    <mergeCell ref="BD73:BE74"/>
    <mergeCell ref="BF73:BG74"/>
    <mergeCell ref="BH73:BI74"/>
    <mergeCell ref="BJ73:BK74"/>
    <mergeCell ref="BL73:BM74"/>
    <mergeCell ref="BV63:BW64"/>
    <mergeCell ref="BX63:BY64"/>
    <mergeCell ref="BZ63:CA64"/>
    <mergeCell ref="CB63:CC64"/>
    <mergeCell ref="BU65:BV66"/>
    <mergeCell ref="BW65:BX66"/>
    <mergeCell ref="BY65:BZ66"/>
    <mergeCell ref="CA65:CB66"/>
    <mergeCell ref="CC65:CD66"/>
    <mergeCell ref="BT67:BU68"/>
    <mergeCell ref="BV67:BW68"/>
    <mergeCell ref="BX67:BY68"/>
    <mergeCell ref="BZ67:CA68"/>
    <mergeCell ref="CB67:CC68"/>
    <mergeCell ref="CD67:CE68"/>
    <mergeCell ref="BS69:BT70"/>
    <mergeCell ref="BU69:BV70"/>
    <mergeCell ref="BW69:BX70"/>
    <mergeCell ref="BY69:BZ70"/>
    <mergeCell ref="BR62:BS63"/>
    <mergeCell ref="AK78:AX79"/>
    <mergeCell ref="BE63:BF64"/>
    <mergeCell ref="BG63:BH64"/>
    <mergeCell ref="BI63:BJ64"/>
    <mergeCell ref="BK63:BL64"/>
    <mergeCell ref="BD65:BE66"/>
    <mergeCell ref="BF65:BG66"/>
    <mergeCell ref="BH65:BI66"/>
    <mergeCell ref="BJ65:BK66"/>
    <mergeCell ref="BL65:BM66"/>
    <mergeCell ref="BC67:BD68"/>
    <mergeCell ref="BE67:BF68"/>
    <mergeCell ref="BG67:BH68"/>
    <mergeCell ref="BI67:BJ68"/>
    <mergeCell ref="BK67:BL68"/>
    <mergeCell ref="BM67:BN68"/>
    <mergeCell ref="BB69:BC70"/>
    <mergeCell ref="BD69:BE70"/>
    <mergeCell ref="BF69:BG70"/>
    <mergeCell ref="BH69:BI70"/>
    <mergeCell ref="BJ69:BK70"/>
    <mergeCell ref="BL69:BM70"/>
    <mergeCell ref="BN69:BO70"/>
    <mergeCell ref="BC71:BD72"/>
    <mergeCell ref="AM73:AN74"/>
    <mergeCell ref="AO73:AP74"/>
    <mergeCell ref="AQ73:AR74"/>
    <mergeCell ref="AS73:AT74"/>
    <mergeCell ref="AU73:AV74"/>
    <mergeCell ref="AN75:AO76"/>
    <mergeCell ref="AP75:AQ76"/>
    <mergeCell ref="AR75:AS76"/>
    <mergeCell ref="AT75:AU76"/>
    <mergeCell ref="AS69:AT70"/>
    <mergeCell ref="AU69:AV70"/>
    <mergeCell ref="AW69:AX70"/>
    <mergeCell ref="AL71:AM72"/>
    <mergeCell ref="AN71:AO72"/>
    <mergeCell ref="AP71:AQ72"/>
    <mergeCell ref="AR71:AS72"/>
    <mergeCell ref="AT71:AU72"/>
    <mergeCell ref="AV71:AW72"/>
    <mergeCell ref="W75:X76"/>
    <mergeCell ref="Y75:Z76"/>
    <mergeCell ref="AA75:AB76"/>
    <mergeCell ref="AC75:AD76"/>
    <mergeCell ref="T78:AG79"/>
    <mergeCell ref="AN63:AO64"/>
    <mergeCell ref="AP63:AQ64"/>
    <mergeCell ref="AR63:AS64"/>
    <mergeCell ref="AT63:AU64"/>
    <mergeCell ref="AM65:AN66"/>
    <mergeCell ref="AO65:AP66"/>
    <mergeCell ref="AQ65:AR66"/>
    <mergeCell ref="AS65:AT66"/>
    <mergeCell ref="AU65:AV66"/>
    <mergeCell ref="AL67:AM68"/>
    <mergeCell ref="AN67:AO68"/>
    <mergeCell ref="AP67:AQ68"/>
    <mergeCell ref="AR67:AS68"/>
    <mergeCell ref="AT67:AU68"/>
    <mergeCell ref="AV67:AW68"/>
    <mergeCell ref="AK69:AL70"/>
    <mergeCell ref="AM69:AN70"/>
    <mergeCell ref="AO69:AP70"/>
    <mergeCell ref="AQ69:AR70"/>
    <mergeCell ref="U71:V72"/>
    <mergeCell ref="W71:X72"/>
    <mergeCell ref="Y71:Z72"/>
    <mergeCell ref="AA71:AB72"/>
    <mergeCell ref="AC71:AD72"/>
    <mergeCell ref="AE71:AF72"/>
    <mergeCell ref="V73:W74"/>
    <mergeCell ref="X73:Y74"/>
    <mergeCell ref="Z73:AA74"/>
    <mergeCell ref="AB73:AC74"/>
    <mergeCell ref="AD73:AE74"/>
    <mergeCell ref="U67:V68"/>
    <mergeCell ref="W67:X68"/>
    <mergeCell ref="Y67:Z68"/>
    <mergeCell ref="AA67:AB68"/>
    <mergeCell ref="AC67:AD68"/>
    <mergeCell ref="AE67:AF68"/>
    <mergeCell ref="T69:U70"/>
    <mergeCell ref="V69:W70"/>
    <mergeCell ref="X69:Y70"/>
    <mergeCell ref="Z69:AA70"/>
    <mergeCell ref="AB69:AC70"/>
    <mergeCell ref="AD69:AE70"/>
    <mergeCell ref="AF69:AG70"/>
    <mergeCell ref="W63:X64"/>
    <mergeCell ref="Y63:Z64"/>
    <mergeCell ref="AA63:AB64"/>
    <mergeCell ref="AC63:AD64"/>
    <mergeCell ref="V65:W66"/>
    <mergeCell ref="X65:Y66"/>
    <mergeCell ref="Z65:AA66"/>
    <mergeCell ref="AB65:AC66"/>
    <mergeCell ref="AD65:AE66"/>
    <mergeCell ref="BE55:BF56"/>
    <mergeCell ref="BG55:BH56"/>
    <mergeCell ref="BI55:BJ56"/>
    <mergeCell ref="BK55:BL56"/>
    <mergeCell ref="BB58:BO59"/>
    <mergeCell ref="BK51:BL52"/>
    <mergeCell ref="BM51:BN52"/>
    <mergeCell ref="BD53:BE54"/>
    <mergeCell ref="BF53:BG54"/>
    <mergeCell ref="BH53:BI54"/>
    <mergeCell ref="BJ53:BK54"/>
    <mergeCell ref="BL53:BM54"/>
    <mergeCell ref="T58:AG59"/>
    <mergeCell ref="AK58:AX59"/>
    <mergeCell ref="U51:V52"/>
    <mergeCell ref="W51:X52"/>
    <mergeCell ref="AJ62:AK63"/>
    <mergeCell ref="BA62:BB63"/>
    <mergeCell ref="CM35:CN36"/>
    <mergeCell ref="CN33:CO34"/>
    <mergeCell ref="CP33:CQ34"/>
    <mergeCell ref="CR33:CS34"/>
    <mergeCell ref="CT33:CU34"/>
    <mergeCell ref="DR18:EE19"/>
    <mergeCell ref="CO35:CP36"/>
    <mergeCell ref="CQ35:CR36"/>
    <mergeCell ref="CS35:CT36"/>
    <mergeCell ref="CS15:CT16"/>
    <mergeCell ref="DY27:DZ28"/>
    <mergeCell ref="EA23:EB24"/>
    <mergeCell ref="DS11:DT12"/>
    <mergeCell ref="DU11:DV12"/>
    <mergeCell ref="DW11:DX12"/>
    <mergeCell ref="DY11:DZ12"/>
    <mergeCell ref="EA11:EB12"/>
    <mergeCell ref="EC11:ED12"/>
    <mergeCell ref="DK33:DL34"/>
    <mergeCell ref="CK31:CL32"/>
    <mergeCell ref="CM31:CN32"/>
    <mergeCell ref="CR29:CS30"/>
    <mergeCell ref="CT29:CU30"/>
    <mergeCell ref="CV29:CW30"/>
    <mergeCell ref="DB31:DC32"/>
    <mergeCell ref="DD31:DE32"/>
    <mergeCell ref="DF31:DG32"/>
    <mergeCell ref="DH31:DI32"/>
    <mergeCell ref="EC31:ED32"/>
    <mergeCell ref="ED29:EE30"/>
    <mergeCell ref="DT13:DU14"/>
    <mergeCell ref="DV13:DW14"/>
    <mergeCell ref="DX13:DY14"/>
    <mergeCell ref="DZ13:EA14"/>
    <mergeCell ref="EB13:EC14"/>
    <mergeCell ref="CO31:CP32"/>
    <mergeCell ref="CQ31:CR32"/>
    <mergeCell ref="DU15:DV16"/>
    <mergeCell ref="DW15:DX16"/>
    <mergeCell ref="DY15:DZ16"/>
    <mergeCell ref="EA15:EB16"/>
    <mergeCell ref="EB9:EC10"/>
    <mergeCell ref="ED9:EE10"/>
    <mergeCell ref="CJ29:CK30"/>
    <mergeCell ref="CL29:CM30"/>
    <mergeCell ref="CN29:CO30"/>
    <mergeCell ref="CP29:CQ30"/>
    <mergeCell ref="DD23:DE24"/>
    <mergeCell ref="DF23:DG24"/>
    <mergeCell ref="DH23:DI24"/>
    <mergeCell ref="DJ23:DK24"/>
    <mergeCell ref="DR9:DS10"/>
    <mergeCell ref="DT9:DU10"/>
    <mergeCell ref="DV9:DW10"/>
    <mergeCell ref="DX9:DY10"/>
    <mergeCell ref="DZ9:EA10"/>
    <mergeCell ref="CM27:CN28"/>
    <mergeCell ref="CO27:CP28"/>
    <mergeCell ref="CQ27:CR28"/>
    <mergeCell ref="CS27:CT28"/>
    <mergeCell ref="CU27:CV28"/>
    <mergeCell ref="DA29:DB30"/>
    <mergeCell ref="DC29:DD30"/>
    <mergeCell ref="DE29:DF30"/>
    <mergeCell ref="DG29:DH30"/>
    <mergeCell ref="DV29:DW30"/>
    <mergeCell ref="DX29:DY30"/>
    <mergeCell ref="DS7:DT8"/>
    <mergeCell ref="DU7:DV8"/>
    <mergeCell ref="DW7:DX8"/>
    <mergeCell ref="DY7:DZ8"/>
    <mergeCell ref="EA7:EB8"/>
    <mergeCell ref="EC7:ED8"/>
    <mergeCell ref="CK27:CL28"/>
    <mergeCell ref="CR25:CS26"/>
    <mergeCell ref="CT25:CU26"/>
    <mergeCell ref="DB27:DC28"/>
    <mergeCell ref="DD27:DE28"/>
    <mergeCell ref="DF27:DG28"/>
    <mergeCell ref="DH27:DI28"/>
    <mergeCell ref="DC25:DD26"/>
    <mergeCell ref="DE25:DF26"/>
    <mergeCell ref="DG25:DH26"/>
    <mergeCell ref="DI25:DJ26"/>
    <mergeCell ref="DE13:DF14"/>
    <mergeCell ref="DG13:DH14"/>
    <mergeCell ref="DI13:DJ14"/>
    <mergeCell ref="DK13:DL14"/>
    <mergeCell ref="DK9:DL10"/>
    <mergeCell ref="DM9:DN10"/>
    <mergeCell ref="CU7:CV8"/>
    <mergeCell ref="DJ11:DK12"/>
    <mergeCell ref="DL11:DM12"/>
    <mergeCell ref="DC9:DD10"/>
    <mergeCell ref="CK11:CL12"/>
    <mergeCell ref="CM11:CN12"/>
    <mergeCell ref="CO11:CP12"/>
    <mergeCell ref="CQ11:CR12"/>
    <mergeCell ref="CS11:CT12"/>
    <mergeCell ref="DT5:DU6"/>
    <mergeCell ref="DV5:DW6"/>
    <mergeCell ref="DX5:DY6"/>
    <mergeCell ref="DZ5:EA6"/>
    <mergeCell ref="EB5:EC6"/>
    <mergeCell ref="CL25:CM26"/>
    <mergeCell ref="CN25:CO26"/>
    <mergeCell ref="CP25:CQ26"/>
    <mergeCell ref="CJ58:CW59"/>
    <mergeCell ref="DA58:DN59"/>
    <mergeCell ref="DB51:DC52"/>
    <mergeCell ref="DD51:DE52"/>
    <mergeCell ref="DF51:DG52"/>
    <mergeCell ref="DH51:DI52"/>
    <mergeCell ref="DJ51:DK52"/>
    <mergeCell ref="DL51:DM52"/>
    <mergeCell ref="DK49:DL50"/>
    <mergeCell ref="DM49:DN50"/>
    <mergeCell ref="DA49:DB50"/>
    <mergeCell ref="DC49:DD50"/>
    <mergeCell ref="DE49:DF50"/>
    <mergeCell ref="DG49:DH50"/>
    <mergeCell ref="DI49:DJ50"/>
    <mergeCell ref="CO47:CP48"/>
    <mergeCell ref="DR58:EE59"/>
    <mergeCell ref="DZ49:EA50"/>
    <mergeCell ref="EB49:EC50"/>
    <mergeCell ref="ED49:EE50"/>
    <mergeCell ref="EA47:EB48"/>
    <mergeCell ref="EC47:ED48"/>
    <mergeCell ref="EB45:EC46"/>
    <mergeCell ref="DJ47:DK48"/>
    <mergeCell ref="DU3:DV4"/>
    <mergeCell ref="DW3:DX4"/>
    <mergeCell ref="DY3:DZ4"/>
    <mergeCell ref="EA3:EB4"/>
    <mergeCell ref="CM23:CN24"/>
    <mergeCell ref="CO23:CP24"/>
    <mergeCell ref="CQ23:CR24"/>
    <mergeCell ref="CS23:CT24"/>
    <mergeCell ref="CS55:CT56"/>
    <mergeCell ref="CQ55:CR56"/>
    <mergeCell ref="DD55:DE56"/>
    <mergeCell ref="DF55:DG56"/>
    <mergeCell ref="DH55:DI56"/>
    <mergeCell ref="DJ55:DK56"/>
    <mergeCell ref="CR53:CS54"/>
    <mergeCell ref="CT53:CU54"/>
    <mergeCell ref="DC53:DD54"/>
    <mergeCell ref="DE53:DF54"/>
    <mergeCell ref="DG53:DH54"/>
    <mergeCell ref="DI53:DJ54"/>
    <mergeCell ref="DK53:DL54"/>
    <mergeCell ref="CQ51:CR52"/>
    <mergeCell ref="CS51:CT52"/>
    <mergeCell ref="CU51:CV52"/>
    <mergeCell ref="DX53:DY54"/>
    <mergeCell ref="DZ53:EA54"/>
    <mergeCell ref="EB53:EC54"/>
    <mergeCell ref="DI33:DJ34"/>
    <mergeCell ref="DW51:DX52"/>
    <mergeCell ref="DY51:DZ52"/>
    <mergeCell ref="EA51:EB52"/>
    <mergeCell ref="EC51:ED52"/>
    <mergeCell ref="CM55:CN56"/>
    <mergeCell ref="CO55:CP56"/>
    <mergeCell ref="AT55:AU56"/>
    <mergeCell ref="Y55:Z56"/>
    <mergeCell ref="AA55:AB56"/>
    <mergeCell ref="AC55:AD56"/>
    <mergeCell ref="W55:X56"/>
    <mergeCell ref="CC53:CD54"/>
    <mergeCell ref="CL53:CM54"/>
    <mergeCell ref="CN53:CO54"/>
    <mergeCell ref="CP53:CQ54"/>
    <mergeCell ref="X53:Y54"/>
    <mergeCell ref="Z53:AA54"/>
    <mergeCell ref="AB53:AC54"/>
    <mergeCell ref="AD53:AE54"/>
    <mergeCell ref="V53:W54"/>
    <mergeCell ref="CO51:CP52"/>
    <mergeCell ref="BY53:BZ54"/>
    <mergeCell ref="CA53:CB54"/>
    <mergeCell ref="AU53:AV54"/>
    <mergeCell ref="AO53:AP54"/>
    <mergeCell ref="BX51:BY52"/>
    <mergeCell ref="BZ51:CA52"/>
    <mergeCell ref="AP23:AQ24"/>
    <mergeCell ref="AR23:AS24"/>
    <mergeCell ref="AT23:AU24"/>
    <mergeCell ref="AM25:AN26"/>
    <mergeCell ref="BU53:BV54"/>
    <mergeCell ref="BW53:BX54"/>
    <mergeCell ref="AS25:AT26"/>
    <mergeCell ref="AP27:AQ28"/>
    <mergeCell ref="AR27:AS28"/>
    <mergeCell ref="AT27:AU28"/>
    <mergeCell ref="AQ53:AR54"/>
    <mergeCell ref="AS53:AT54"/>
    <mergeCell ref="BB18:BO19"/>
    <mergeCell ref="BS58:CF59"/>
    <mergeCell ref="BX55:BY56"/>
    <mergeCell ref="BZ55:CA56"/>
    <mergeCell ref="CB55:CC56"/>
    <mergeCell ref="BE43:BF44"/>
    <mergeCell ref="BG43:BH44"/>
    <mergeCell ref="BI43:BJ44"/>
    <mergeCell ref="BD45:BE46"/>
    <mergeCell ref="BV55:BW56"/>
    <mergeCell ref="AL27:AM28"/>
    <mergeCell ref="AN27:AO28"/>
    <mergeCell ref="AK29:AL30"/>
    <mergeCell ref="AM29:AN30"/>
    <mergeCell ref="AN55:AO56"/>
    <mergeCell ref="AP55:AQ56"/>
    <mergeCell ref="AR55:AS56"/>
    <mergeCell ref="AM53:AN54"/>
    <mergeCell ref="AO29:AP30"/>
    <mergeCell ref="AL31:AM32"/>
    <mergeCell ref="AN31:AO32"/>
    <mergeCell ref="AP31:AQ32"/>
    <mergeCell ref="AP51:AQ52"/>
    <mergeCell ref="AR51:AS52"/>
    <mergeCell ref="AT51:AU52"/>
    <mergeCell ref="AV51:AW52"/>
    <mergeCell ref="CB51:CC52"/>
    <mergeCell ref="AO25:AP26"/>
    <mergeCell ref="AQ25:AR26"/>
    <mergeCell ref="BS49:BT50"/>
    <mergeCell ref="BK43:BL44"/>
    <mergeCell ref="BH45:BI46"/>
    <mergeCell ref="AD29:AE30"/>
    <mergeCell ref="AF29:AG30"/>
    <mergeCell ref="CD51:CE52"/>
    <mergeCell ref="CK51:CL52"/>
    <mergeCell ref="CM51:CN52"/>
    <mergeCell ref="BG11:BH12"/>
    <mergeCell ref="BI11:BJ12"/>
    <mergeCell ref="BK11:BL12"/>
    <mergeCell ref="BM11:BN12"/>
    <mergeCell ref="BT51:BU52"/>
    <mergeCell ref="BV51:BW52"/>
    <mergeCell ref="CM47:CN48"/>
    <mergeCell ref="CM43:CN44"/>
    <mergeCell ref="BY29:BZ30"/>
    <mergeCell ref="CA29:CB30"/>
    <mergeCell ref="CC29:CD30"/>
    <mergeCell ref="CE29:CF30"/>
    <mergeCell ref="BU29:BV30"/>
    <mergeCell ref="BW29:BX30"/>
    <mergeCell ref="CJ18:CW19"/>
    <mergeCell ref="BJ13:BK14"/>
    <mergeCell ref="BL13:BM14"/>
    <mergeCell ref="BD13:BE14"/>
    <mergeCell ref="BF13:BG14"/>
    <mergeCell ref="CA49:CB50"/>
    <mergeCell ref="CC49:CD50"/>
    <mergeCell ref="Z33:AA34"/>
    <mergeCell ref="Y31:Z32"/>
    <mergeCell ref="AC31:AD32"/>
    <mergeCell ref="AE31:AF32"/>
    <mergeCell ref="AK38:AX39"/>
    <mergeCell ref="X45:Y46"/>
    <mergeCell ref="Z45:AA46"/>
    <mergeCell ref="W47:X48"/>
    <mergeCell ref="Y47:Z48"/>
    <mergeCell ref="AA47:AB48"/>
    <mergeCell ref="AC47:AD48"/>
    <mergeCell ref="AE47:AF48"/>
    <mergeCell ref="AA31:AB32"/>
    <mergeCell ref="AK49:AL50"/>
    <mergeCell ref="AM49:AN50"/>
    <mergeCell ref="AO49:AP50"/>
    <mergeCell ref="BF45:BG46"/>
    <mergeCell ref="BC47:BD48"/>
    <mergeCell ref="BE47:BF48"/>
    <mergeCell ref="BG47:BH48"/>
    <mergeCell ref="AL47:AM48"/>
    <mergeCell ref="AB49:AC50"/>
    <mergeCell ref="AD49:AE50"/>
    <mergeCell ref="AF49:AG50"/>
    <mergeCell ref="AM33:AN34"/>
    <mergeCell ref="AN35:AO36"/>
    <mergeCell ref="AN47:AO48"/>
    <mergeCell ref="AP47:AQ48"/>
    <mergeCell ref="AR47:AS48"/>
    <mergeCell ref="AT47:AU48"/>
    <mergeCell ref="AV47:AW48"/>
    <mergeCell ref="AO33:AP34"/>
    <mergeCell ref="T49:U50"/>
    <mergeCell ref="V49:W50"/>
    <mergeCell ref="X49:Y50"/>
    <mergeCell ref="Z49:AA50"/>
    <mergeCell ref="BC51:BD52"/>
    <mergeCell ref="Y51:Z52"/>
    <mergeCell ref="AA51:AB52"/>
    <mergeCell ref="AC51:AD52"/>
    <mergeCell ref="AE51:AF52"/>
    <mergeCell ref="AL51:AM52"/>
    <mergeCell ref="AN51:AO52"/>
    <mergeCell ref="CL33:CM34"/>
    <mergeCell ref="CS31:CT32"/>
    <mergeCell ref="CU31:CV32"/>
    <mergeCell ref="CJ38:CW39"/>
    <mergeCell ref="BJ45:BK46"/>
    <mergeCell ref="AQ49:AR50"/>
    <mergeCell ref="AS49:AT50"/>
    <mergeCell ref="AU49:AV50"/>
    <mergeCell ref="AW49:AX50"/>
    <mergeCell ref="BB49:BC50"/>
    <mergeCell ref="BD49:BE50"/>
    <mergeCell ref="CV49:CW50"/>
    <mergeCell ref="CJ49:CK50"/>
    <mergeCell ref="CL49:CM50"/>
    <mergeCell ref="CN49:CO50"/>
    <mergeCell ref="CP49:CQ50"/>
    <mergeCell ref="CR49:CS50"/>
    <mergeCell ref="CT49:CU50"/>
    <mergeCell ref="BU49:BV50"/>
    <mergeCell ref="BW49:BX50"/>
    <mergeCell ref="BY49:BZ50"/>
    <mergeCell ref="CE49:CF50"/>
    <mergeCell ref="CQ47:CR48"/>
    <mergeCell ref="CS47:CT48"/>
    <mergeCell ref="CU47:CV48"/>
    <mergeCell ref="BV47:BW48"/>
    <mergeCell ref="BX47:BY48"/>
    <mergeCell ref="BZ47:CA48"/>
    <mergeCell ref="CB47:CC48"/>
    <mergeCell ref="CD47:CE48"/>
    <mergeCell ref="CK47:CL48"/>
    <mergeCell ref="DD47:DE48"/>
    <mergeCell ref="DF47:DG48"/>
    <mergeCell ref="BE7:BF8"/>
    <mergeCell ref="BG7:BH8"/>
    <mergeCell ref="BI7:BJ8"/>
    <mergeCell ref="BK7:BL8"/>
    <mergeCell ref="BM7:BN8"/>
    <mergeCell ref="BT47:BU48"/>
    <mergeCell ref="BL45:BM46"/>
    <mergeCell ref="BI47:BJ48"/>
    <mergeCell ref="BE35:BF36"/>
    <mergeCell ref="DC33:DD34"/>
    <mergeCell ref="DE33:DF34"/>
    <mergeCell ref="DG33:DH34"/>
    <mergeCell ref="CL45:CM46"/>
    <mergeCell ref="DD11:DE12"/>
    <mergeCell ref="DF11:DG12"/>
    <mergeCell ref="DH11:DI12"/>
    <mergeCell ref="DE9:DF10"/>
    <mergeCell ref="DG9:DH10"/>
    <mergeCell ref="DI9:DJ10"/>
    <mergeCell ref="DA9:DB10"/>
    <mergeCell ref="AB45:AC46"/>
    <mergeCell ref="AD45:AE46"/>
    <mergeCell ref="AM45:AN46"/>
    <mergeCell ref="AO45:AP46"/>
    <mergeCell ref="AQ45:AR46"/>
    <mergeCell ref="AS45:AT46"/>
    <mergeCell ref="AU25:AV26"/>
    <mergeCell ref="AV27:AW28"/>
    <mergeCell ref="AQ29:AR30"/>
    <mergeCell ref="AS29:AT30"/>
    <mergeCell ref="AN43:AO44"/>
    <mergeCell ref="AP43:AQ44"/>
    <mergeCell ref="AR43:AS44"/>
    <mergeCell ref="AT43:AU44"/>
    <mergeCell ref="AB33:AC34"/>
    <mergeCell ref="AD33:AE34"/>
    <mergeCell ref="BD33:BE34"/>
    <mergeCell ref="BD29:BE30"/>
    <mergeCell ref="BI35:BJ36"/>
    <mergeCell ref="BK35:BL36"/>
    <mergeCell ref="BV15:BW16"/>
    <mergeCell ref="BU33:BV34"/>
    <mergeCell ref="BW33:BX34"/>
    <mergeCell ref="BX3:BY4"/>
    <mergeCell ref="BC7:BD8"/>
    <mergeCell ref="BC31:BD32"/>
    <mergeCell ref="BE31:BF32"/>
    <mergeCell ref="BF29:BG30"/>
    <mergeCell ref="BN29:BO30"/>
    <mergeCell ref="BS9:BT10"/>
    <mergeCell ref="BB29:BC30"/>
    <mergeCell ref="BD5:BE6"/>
    <mergeCell ref="BF5:BG6"/>
    <mergeCell ref="BH5:BI6"/>
    <mergeCell ref="BJ5:BK6"/>
    <mergeCell ref="BL5:BM6"/>
    <mergeCell ref="BF33:BG34"/>
    <mergeCell ref="BI15:BJ16"/>
    <mergeCell ref="BK15:BL16"/>
    <mergeCell ref="BR2:BS3"/>
    <mergeCell ref="V33:W34"/>
    <mergeCell ref="X33:Y34"/>
    <mergeCell ref="BS38:CF39"/>
    <mergeCell ref="BB38:BO39"/>
    <mergeCell ref="BS18:CF19"/>
    <mergeCell ref="BX15:BY16"/>
    <mergeCell ref="BZ15:CA16"/>
    <mergeCell ref="CB15:CC16"/>
    <mergeCell ref="AN15:AO16"/>
    <mergeCell ref="AP15:AQ16"/>
    <mergeCell ref="BI3:BJ4"/>
    <mergeCell ref="BK3:BL4"/>
    <mergeCell ref="BV43:BW44"/>
    <mergeCell ref="BX43:BY44"/>
    <mergeCell ref="BZ43:CA44"/>
    <mergeCell ref="CB43:CC44"/>
    <mergeCell ref="BH33:BI34"/>
    <mergeCell ref="BM31:BN32"/>
    <mergeCell ref="BT11:BU12"/>
    <mergeCell ref="BV11:BW12"/>
    <mergeCell ref="BX31:BY32"/>
    <mergeCell ref="BZ31:CA32"/>
    <mergeCell ref="CB31:CC32"/>
    <mergeCell ref="BT31:BU32"/>
    <mergeCell ref="BV31:BW32"/>
    <mergeCell ref="CC9:CD10"/>
    <mergeCell ref="BH29:BI30"/>
    <mergeCell ref="BJ29:BK30"/>
    <mergeCell ref="BL29:BM30"/>
    <mergeCell ref="BH9:BI10"/>
    <mergeCell ref="BJ9:BK10"/>
    <mergeCell ref="BL9:BM10"/>
    <mergeCell ref="EA55:EB56"/>
    <mergeCell ref="BV35:BW36"/>
    <mergeCell ref="BX35:BY36"/>
    <mergeCell ref="CO43:CP44"/>
    <mergeCell ref="DU55:DV56"/>
    <mergeCell ref="CC13:CD14"/>
    <mergeCell ref="AM13:AN14"/>
    <mergeCell ref="AO13:AP14"/>
    <mergeCell ref="AQ13:AR14"/>
    <mergeCell ref="AS13:AT14"/>
    <mergeCell ref="AU13:AV14"/>
    <mergeCell ref="BJ33:BK34"/>
    <mergeCell ref="BL33:BM34"/>
    <mergeCell ref="BU13:BV14"/>
    <mergeCell ref="BW13:BX14"/>
    <mergeCell ref="BY13:BZ14"/>
    <mergeCell ref="CA13:CB14"/>
    <mergeCell ref="AR31:AS32"/>
    <mergeCell ref="AT31:AU32"/>
    <mergeCell ref="AQ33:AR34"/>
    <mergeCell ref="AS33:AT34"/>
    <mergeCell ref="BY33:BZ34"/>
    <mergeCell ref="CA33:CB34"/>
    <mergeCell ref="CC33:CD34"/>
    <mergeCell ref="CQ43:CR44"/>
    <mergeCell ref="CS43:CT44"/>
    <mergeCell ref="CD31:CE32"/>
    <mergeCell ref="DH47:DI48"/>
    <mergeCell ref="DV53:DW54"/>
    <mergeCell ref="AK18:AX19"/>
    <mergeCell ref="DD43:DE44"/>
    <mergeCell ref="DF43:DG44"/>
    <mergeCell ref="U31:V32"/>
    <mergeCell ref="W31:X32"/>
    <mergeCell ref="AU29:AV30"/>
    <mergeCell ref="AW29:AX30"/>
    <mergeCell ref="AV31:AW32"/>
    <mergeCell ref="BX11:BY12"/>
    <mergeCell ref="BZ11:CA12"/>
    <mergeCell ref="CB11:CC12"/>
    <mergeCell ref="CD11:CE12"/>
    <mergeCell ref="AL11:AM12"/>
    <mergeCell ref="AN11:AO12"/>
    <mergeCell ref="BG31:BH32"/>
    <mergeCell ref="BI31:BJ32"/>
    <mergeCell ref="BK31:BL32"/>
    <mergeCell ref="U47:V48"/>
    <mergeCell ref="CR45:CS46"/>
    <mergeCell ref="CT45:CU46"/>
    <mergeCell ref="BU45:BV46"/>
    <mergeCell ref="BW45:BX46"/>
    <mergeCell ref="BY45:BZ46"/>
    <mergeCell ref="CA45:CB46"/>
    <mergeCell ref="CC45:CD46"/>
    <mergeCell ref="AP35:AQ36"/>
    <mergeCell ref="T38:AG39"/>
    <mergeCell ref="W43:X44"/>
    <mergeCell ref="Y43:Z44"/>
    <mergeCell ref="AA43:AB44"/>
    <mergeCell ref="AC43:AD44"/>
    <mergeCell ref="AT15:AU16"/>
    <mergeCell ref="W35:X36"/>
    <mergeCell ref="Y35:Z36"/>
    <mergeCell ref="AA35:AB36"/>
    <mergeCell ref="AB13:AC14"/>
    <mergeCell ref="AD13:AE14"/>
    <mergeCell ref="Z9:AA10"/>
    <mergeCell ref="AB9:AC10"/>
    <mergeCell ref="AD9:AE10"/>
    <mergeCell ref="AF9:AG10"/>
    <mergeCell ref="BC27:BD28"/>
    <mergeCell ref="BT27:BU28"/>
    <mergeCell ref="CA25:CB26"/>
    <mergeCell ref="BE27:BF28"/>
    <mergeCell ref="DL47:DM48"/>
    <mergeCell ref="CN45:CO46"/>
    <mergeCell ref="CP45:CQ46"/>
    <mergeCell ref="DT53:DU54"/>
    <mergeCell ref="AP11:AQ12"/>
    <mergeCell ref="AR11:AS12"/>
    <mergeCell ref="AT11:AU12"/>
    <mergeCell ref="AV11:AW12"/>
    <mergeCell ref="DS51:DT52"/>
    <mergeCell ref="DU51:DV52"/>
    <mergeCell ref="DH43:DI44"/>
    <mergeCell ref="DJ43:DK44"/>
    <mergeCell ref="AC35:AD36"/>
    <mergeCell ref="BZ35:CA36"/>
    <mergeCell ref="DD35:DE36"/>
    <mergeCell ref="DF35:DG36"/>
    <mergeCell ref="DH35:DI36"/>
    <mergeCell ref="DJ35:DK36"/>
    <mergeCell ref="BN9:BO10"/>
    <mergeCell ref="BH13:BI14"/>
    <mergeCell ref="CB35:CC36"/>
    <mergeCell ref="BG35:BH36"/>
    <mergeCell ref="J35:K36"/>
    <mergeCell ref="L35:M36"/>
    <mergeCell ref="C38:P39"/>
    <mergeCell ref="DC45:DD46"/>
    <mergeCell ref="DB47:DC48"/>
    <mergeCell ref="DV49:DW50"/>
    <mergeCell ref="DX49:DY50"/>
    <mergeCell ref="DI29:DJ30"/>
    <mergeCell ref="DK29:DL30"/>
    <mergeCell ref="DM29:DN30"/>
    <mergeCell ref="DJ31:DK32"/>
    <mergeCell ref="DU47:DV48"/>
    <mergeCell ref="AW9:AX10"/>
    <mergeCell ref="T29:U30"/>
    <mergeCell ref="V29:W30"/>
    <mergeCell ref="X29:Y30"/>
    <mergeCell ref="Z29:AA30"/>
    <mergeCell ref="AB29:AC30"/>
    <mergeCell ref="AK9:AL10"/>
    <mergeCell ref="AM9:AN10"/>
    <mergeCell ref="AO9:AP10"/>
    <mergeCell ref="AQ9:AR10"/>
    <mergeCell ref="AS9:AT10"/>
    <mergeCell ref="AU9:AV10"/>
    <mergeCell ref="BU9:BV10"/>
    <mergeCell ref="BW9:BX10"/>
    <mergeCell ref="BY9:BZ10"/>
    <mergeCell ref="CA9:CB10"/>
    <mergeCell ref="CE9:CF10"/>
    <mergeCell ref="W23:X24"/>
    <mergeCell ref="Y23:Z24"/>
    <mergeCell ref="AA23:AB24"/>
    <mergeCell ref="EB33:EC34"/>
    <mergeCell ref="AN7:AO8"/>
    <mergeCell ref="AP7:AQ8"/>
    <mergeCell ref="AR7:AS8"/>
    <mergeCell ref="AT7:AU8"/>
    <mergeCell ref="AV7:AW8"/>
    <mergeCell ref="U27:V28"/>
    <mergeCell ref="BV7:BW8"/>
    <mergeCell ref="BX7:BY8"/>
    <mergeCell ref="BZ7:CA8"/>
    <mergeCell ref="Z25:AA26"/>
    <mergeCell ref="AB25:AC26"/>
    <mergeCell ref="AD25:AE26"/>
    <mergeCell ref="W27:X28"/>
    <mergeCell ref="Y27:Z28"/>
    <mergeCell ref="AA27:AB28"/>
    <mergeCell ref="AC27:AD28"/>
    <mergeCell ref="AE27:AF28"/>
    <mergeCell ref="BF9:BG10"/>
    <mergeCell ref="BB9:BC10"/>
    <mergeCell ref="BD9:BE10"/>
    <mergeCell ref="BC11:BD12"/>
    <mergeCell ref="BE11:BF12"/>
    <mergeCell ref="BE15:BF16"/>
    <mergeCell ref="BG15:BH16"/>
    <mergeCell ref="DW31:DX32"/>
    <mergeCell ref="DY31:DZ32"/>
    <mergeCell ref="EA31:EB32"/>
    <mergeCell ref="DZ29:EA30"/>
    <mergeCell ref="EB29:EC30"/>
    <mergeCell ref="AC23:AD24"/>
    <mergeCell ref="T18:AG19"/>
    <mergeCell ref="BZ3:CA4"/>
    <mergeCell ref="CB3:CC4"/>
    <mergeCell ref="BV23:BW24"/>
    <mergeCell ref="BX23:BY24"/>
    <mergeCell ref="BZ23:CA24"/>
    <mergeCell ref="CB23:CC24"/>
    <mergeCell ref="CA5:CB6"/>
    <mergeCell ref="CC5:CD6"/>
    <mergeCell ref="BU5:BV6"/>
    <mergeCell ref="BW5:BX6"/>
    <mergeCell ref="BY5:BZ6"/>
    <mergeCell ref="CB7:CC8"/>
    <mergeCell ref="CD7:CE8"/>
    <mergeCell ref="BT7:BU8"/>
    <mergeCell ref="AN3:AO4"/>
    <mergeCell ref="AP3:AQ4"/>
    <mergeCell ref="AR3:AS4"/>
    <mergeCell ref="AT3:AU4"/>
    <mergeCell ref="BI23:BJ24"/>
    <mergeCell ref="BK23:BL24"/>
    <mergeCell ref="BV3:BW4"/>
    <mergeCell ref="AM5:AN6"/>
    <mergeCell ref="BE23:BF24"/>
    <mergeCell ref="BG23:BH24"/>
    <mergeCell ref="AO5:AP6"/>
    <mergeCell ref="AQ5:AR6"/>
    <mergeCell ref="AS5:AT6"/>
    <mergeCell ref="AU5:AV6"/>
    <mergeCell ref="BE3:BF4"/>
    <mergeCell ref="BG3:BH4"/>
    <mergeCell ref="AR15:AS16"/>
    <mergeCell ref="AN23:AO24"/>
    <mergeCell ref="V5:W6"/>
    <mergeCell ref="X5:Y6"/>
    <mergeCell ref="Z5:AA6"/>
    <mergeCell ref="AB5:AC6"/>
    <mergeCell ref="AD5:AE6"/>
    <mergeCell ref="Y15:Z16"/>
    <mergeCell ref="AA15:AB16"/>
    <mergeCell ref="AC15:AD16"/>
    <mergeCell ref="C18:P19"/>
    <mergeCell ref="DA18:DN19"/>
    <mergeCell ref="DH15:DI16"/>
    <mergeCell ref="DJ15:DK16"/>
    <mergeCell ref="DZ33:EA34"/>
    <mergeCell ref="DT33:DU34"/>
    <mergeCell ref="DV33:DW34"/>
    <mergeCell ref="DX33:DY34"/>
    <mergeCell ref="DS31:DT32"/>
    <mergeCell ref="DU31:DV32"/>
    <mergeCell ref="E25:F26"/>
    <mergeCell ref="G25:H26"/>
    <mergeCell ref="I25:J26"/>
    <mergeCell ref="K25:L26"/>
    <mergeCell ref="M25:N26"/>
    <mergeCell ref="CC25:CD26"/>
    <mergeCell ref="BD25:BE26"/>
    <mergeCell ref="DS27:DT28"/>
    <mergeCell ref="DU27:DV28"/>
    <mergeCell ref="DW27:DX28"/>
    <mergeCell ref="BS29:BT30"/>
    <mergeCell ref="V13:W14"/>
    <mergeCell ref="X13:Y14"/>
    <mergeCell ref="Z13:AA14"/>
    <mergeCell ref="C78:P79"/>
    <mergeCell ref="DR38:EE39"/>
    <mergeCell ref="C58:P59"/>
    <mergeCell ref="H55:I56"/>
    <mergeCell ref="J55:K56"/>
    <mergeCell ref="L55:M56"/>
    <mergeCell ref="CM15:CN16"/>
    <mergeCell ref="CO15:CP16"/>
    <mergeCell ref="CQ15:CR16"/>
    <mergeCell ref="AU33:AV34"/>
    <mergeCell ref="AR35:AS36"/>
    <mergeCell ref="AT35:AU36"/>
    <mergeCell ref="BK47:BL48"/>
    <mergeCell ref="L75:M76"/>
    <mergeCell ref="DU35:DV36"/>
    <mergeCell ref="DW35:DX36"/>
    <mergeCell ref="DY35:DZ36"/>
    <mergeCell ref="EA35:EB36"/>
    <mergeCell ref="F55:G56"/>
    <mergeCell ref="DA38:DN39"/>
    <mergeCell ref="BM47:BN48"/>
    <mergeCell ref="BF49:BG50"/>
    <mergeCell ref="BH49:BI50"/>
    <mergeCell ref="DF15:DG16"/>
    <mergeCell ref="F75:G76"/>
    <mergeCell ref="H75:I76"/>
    <mergeCell ref="J75:K76"/>
    <mergeCell ref="DK25:DL26"/>
    <mergeCell ref="DJ27:DK28"/>
    <mergeCell ref="DL27:DM28"/>
    <mergeCell ref="DL31:DM32"/>
    <mergeCell ref="F15:G16"/>
    <mergeCell ref="CP13:CQ14"/>
    <mergeCell ref="CR13:CS14"/>
    <mergeCell ref="CT13:CU14"/>
    <mergeCell ref="BJ49:BK50"/>
    <mergeCell ref="I73:J74"/>
    <mergeCell ref="K73:L74"/>
    <mergeCell ref="M73:N74"/>
    <mergeCell ref="E73:F74"/>
    <mergeCell ref="G73:H74"/>
    <mergeCell ref="D51:E52"/>
    <mergeCell ref="F51:G52"/>
    <mergeCell ref="H51:I52"/>
    <mergeCell ref="J51:K52"/>
    <mergeCell ref="L51:M52"/>
    <mergeCell ref="N51:O52"/>
    <mergeCell ref="D71:E72"/>
    <mergeCell ref="F71:G72"/>
    <mergeCell ref="H71:I72"/>
    <mergeCell ref="J71:K72"/>
    <mergeCell ref="L71:M72"/>
    <mergeCell ref="N71:O72"/>
    <mergeCell ref="O69:P70"/>
    <mergeCell ref="E69:F70"/>
    <mergeCell ref="G69:H70"/>
    <mergeCell ref="I69:J70"/>
    <mergeCell ref="AU45:AV46"/>
    <mergeCell ref="BN49:BO50"/>
    <mergeCell ref="D31:E32"/>
    <mergeCell ref="F31:G32"/>
    <mergeCell ref="H31:I32"/>
    <mergeCell ref="J31:K32"/>
    <mergeCell ref="L31:M32"/>
    <mergeCell ref="K69:L70"/>
    <mergeCell ref="M69:N70"/>
    <mergeCell ref="D11:E12"/>
    <mergeCell ref="F11:G12"/>
    <mergeCell ref="H11:I12"/>
    <mergeCell ref="J11:K12"/>
    <mergeCell ref="L11:M12"/>
    <mergeCell ref="E53:F54"/>
    <mergeCell ref="G53:H54"/>
    <mergeCell ref="I53:J54"/>
    <mergeCell ref="K53:L54"/>
    <mergeCell ref="F23:G24"/>
    <mergeCell ref="H23:I24"/>
    <mergeCell ref="J23:K24"/>
    <mergeCell ref="L23:M24"/>
    <mergeCell ref="V25:W26"/>
    <mergeCell ref="DB11:DC12"/>
    <mergeCell ref="CU11:CV12"/>
    <mergeCell ref="BF25:BG26"/>
    <mergeCell ref="BH25:BI26"/>
    <mergeCell ref="BJ25:BK26"/>
    <mergeCell ref="BL25:BM26"/>
    <mergeCell ref="BU25:BV26"/>
    <mergeCell ref="BW25:BX26"/>
    <mergeCell ref="BY25:BZ26"/>
    <mergeCell ref="BK27:BL28"/>
    <mergeCell ref="BM27:BN28"/>
    <mergeCell ref="BV27:BW28"/>
    <mergeCell ref="BX27:BY28"/>
    <mergeCell ref="BZ27:CA28"/>
    <mergeCell ref="CB27:CC28"/>
    <mergeCell ref="CD27:CE28"/>
    <mergeCell ref="C49:D50"/>
    <mergeCell ref="E49:F50"/>
    <mergeCell ref="G49:H50"/>
    <mergeCell ref="I49:J50"/>
    <mergeCell ref="K49:L50"/>
    <mergeCell ref="DR29:DS30"/>
    <mergeCell ref="DT29:DU30"/>
    <mergeCell ref="C29:D30"/>
    <mergeCell ref="E29:F30"/>
    <mergeCell ref="G29:H30"/>
    <mergeCell ref="I29:J30"/>
    <mergeCell ref="K29:L30"/>
    <mergeCell ref="M29:N30"/>
    <mergeCell ref="O29:P30"/>
    <mergeCell ref="DR49:DS50"/>
    <mergeCell ref="M49:N50"/>
    <mergeCell ref="O49:P50"/>
    <mergeCell ref="DT49:DU50"/>
    <mergeCell ref="BL49:BM50"/>
    <mergeCell ref="DE45:DF46"/>
    <mergeCell ref="DG45:DH46"/>
    <mergeCell ref="DS47:DT48"/>
    <mergeCell ref="DI45:DJ46"/>
    <mergeCell ref="DK45:DL46"/>
    <mergeCell ref="N31:O32"/>
    <mergeCell ref="E33:F34"/>
    <mergeCell ref="G33:H34"/>
    <mergeCell ref="I33:J34"/>
    <mergeCell ref="K33:L34"/>
    <mergeCell ref="M33:N34"/>
    <mergeCell ref="F35:G36"/>
    <mergeCell ref="H35:I36"/>
    <mergeCell ref="F47:G48"/>
    <mergeCell ref="H47:I48"/>
    <mergeCell ref="J47:K48"/>
    <mergeCell ref="L47:M48"/>
    <mergeCell ref="E45:F46"/>
    <mergeCell ref="G45:H46"/>
    <mergeCell ref="I45:J46"/>
    <mergeCell ref="I65:J66"/>
    <mergeCell ref="K65:L66"/>
    <mergeCell ref="M65:N66"/>
    <mergeCell ref="E65:F66"/>
    <mergeCell ref="G65:H66"/>
    <mergeCell ref="F63:G64"/>
    <mergeCell ref="H63:I64"/>
    <mergeCell ref="DU43:DV44"/>
    <mergeCell ref="DW43:DX44"/>
    <mergeCell ref="DY43:DZ44"/>
    <mergeCell ref="DT45:DU46"/>
    <mergeCell ref="DV45:DW46"/>
    <mergeCell ref="DX45:DY46"/>
    <mergeCell ref="J63:K64"/>
    <mergeCell ref="L63:M64"/>
    <mergeCell ref="BE51:BF52"/>
    <mergeCell ref="BG51:BH52"/>
    <mergeCell ref="BI51:BJ52"/>
    <mergeCell ref="M53:N54"/>
    <mergeCell ref="DW47:DX48"/>
    <mergeCell ref="DY47:DZ48"/>
    <mergeCell ref="DZ45:EA46"/>
    <mergeCell ref="EA43:EB44"/>
    <mergeCell ref="DW55:DX56"/>
    <mergeCell ref="DY55:DZ56"/>
    <mergeCell ref="C69:D70"/>
    <mergeCell ref="AE7:AF8"/>
    <mergeCell ref="C9:D10"/>
    <mergeCell ref="E9:F10"/>
    <mergeCell ref="G9:H10"/>
    <mergeCell ref="I9:J10"/>
    <mergeCell ref="K9:L10"/>
    <mergeCell ref="M9:N10"/>
    <mergeCell ref="O9:P10"/>
    <mergeCell ref="U7:V8"/>
    <mergeCell ref="W7:X8"/>
    <mergeCell ref="Y7:Z8"/>
    <mergeCell ref="AA7:AB8"/>
    <mergeCell ref="AC7:AD8"/>
    <mergeCell ref="N47:O48"/>
    <mergeCell ref="N67:O68"/>
    <mergeCell ref="D67:E68"/>
    <mergeCell ref="F67:G68"/>
    <mergeCell ref="H67:I68"/>
    <mergeCell ref="D47:E48"/>
    <mergeCell ref="E13:F14"/>
    <mergeCell ref="G13:H14"/>
    <mergeCell ref="I13:J14"/>
    <mergeCell ref="K13:L14"/>
    <mergeCell ref="V45:W46"/>
    <mergeCell ref="M13:N14"/>
    <mergeCell ref="N27:O28"/>
    <mergeCell ref="F43:G44"/>
    <mergeCell ref="H43:I44"/>
    <mergeCell ref="J67:K68"/>
    <mergeCell ref="L67:M68"/>
    <mergeCell ref="F7:G8"/>
    <mergeCell ref="DZ25:EA26"/>
    <mergeCell ref="EB25:EC26"/>
    <mergeCell ref="K45:L46"/>
    <mergeCell ref="DT25:DU26"/>
    <mergeCell ref="DV25:DW26"/>
    <mergeCell ref="DX25:DY26"/>
    <mergeCell ref="DE5:DF6"/>
    <mergeCell ref="DG5:DH6"/>
    <mergeCell ref="DI5:DJ6"/>
    <mergeCell ref="DK5:DL6"/>
    <mergeCell ref="DC5:DD6"/>
    <mergeCell ref="J43:K44"/>
    <mergeCell ref="L43:M44"/>
    <mergeCell ref="CK7:CL8"/>
    <mergeCell ref="CM7:CN8"/>
    <mergeCell ref="CO7:CP8"/>
    <mergeCell ref="CQ7:CR8"/>
    <mergeCell ref="CS7:CT8"/>
    <mergeCell ref="EC27:ED28"/>
    <mergeCell ref="EA27:EB28"/>
    <mergeCell ref="M45:N46"/>
    <mergeCell ref="CL5:CM6"/>
    <mergeCell ref="CN5:CO6"/>
    <mergeCell ref="CP5:CQ6"/>
    <mergeCell ref="CR5:CS6"/>
    <mergeCell ref="U11:V12"/>
    <mergeCell ref="W11:X12"/>
    <mergeCell ref="Y11:Z12"/>
    <mergeCell ref="AA11:AB12"/>
    <mergeCell ref="AC11:AD12"/>
    <mergeCell ref="AE11:AF12"/>
    <mergeCell ref="J7:K8"/>
    <mergeCell ref="DU23:DV24"/>
    <mergeCell ref="DW23:DX24"/>
    <mergeCell ref="DY23:DZ24"/>
    <mergeCell ref="DL7:DM8"/>
    <mergeCell ref="N7:O8"/>
    <mergeCell ref="DB7:DC8"/>
    <mergeCell ref="I5:J6"/>
    <mergeCell ref="K5:L6"/>
    <mergeCell ref="M5:N6"/>
    <mergeCell ref="L7:M8"/>
    <mergeCell ref="DF7:DG8"/>
    <mergeCell ref="DH7:DI8"/>
    <mergeCell ref="DJ7:DK8"/>
    <mergeCell ref="DC13:DD14"/>
    <mergeCell ref="DD7:DE8"/>
    <mergeCell ref="CV9:CW10"/>
    <mergeCell ref="T9:U10"/>
    <mergeCell ref="V9:W10"/>
    <mergeCell ref="X9:Y10"/>
    <mergeCell ref="CJ9:CK10"/>
    <mergeCell ref="CL9:CM10"/>
    <mergeCell ref="CN9:CO10"/>
    <mergeCell ref="CP9:CQ10"/>
    <mergeCell ref="W15:X16"/>
    <mergeCell ref="CT5:CU6"/>
    <mergeCell ref="H7:I8"/>
    <mergeCell ref="H15:I16"/>
    <mergeCell ref="J15:K16"/>
    <mergeCell ref="L15:M16"/>
    <mergeCell ref="DD15:DE16"/>
    <mergeCell ref="CL13:CM14"/>
    <mergeCell ref="CN13:CO14"/>
    <mergeCell ref="CI62:CJ63"/>
    <mergeCell ref="DH3:DI4"/>
    <mergeCell ref="DJ3:DK4"/>
    <mergeCell ref="F3:G4"/>
    <mergeCell ref="H3:I4"/>
    <mergeCell ref="J3:K4"/>
    <mergeCell ref="L3:M4"/>
    <mergeCell ref="DD3:DE4"/>
    <mergeCell ref="DF3:DG4"/>
    <mergeCell ref="W3:X4"/>
    <mergeCell ref="Y3:Z4"/>
    <mergeCell ref="AA3:AB4"/>
    <mergeCell ref="AC3:AD4"/>
    <mergeCell ref="E5:F6"/>
    <mergeCell ref="G5:H6"/>
    <mergeCell ref="X25:Y26"/>
    <mergeCell ref="AL7:AM8"/>
    <mergeCell ref="CM3:CN4"/>
    <mergeCell ref="CO3:CP4"/>
    <mergeCell ref="CQ3:CR4"/>
    <mergeCell ref="CS3:CT4"/>
    <mergeCell ref="D7:E8"/>
    <mergeCell ref="BG27:BH28"/>
    <mergeCell ref="N11:O12"/>
    <mergeCell ref="CR9:CS10"/>
    <mergeCell ref="CT9:CU10"/>
    <mergeCell ref="BI27:BJ28"/>
    <mergeCell ref="D27:E28"/>
    <mergeCell ref="F27:G28"/>
    <mergeCell ref="H27:I28"/>
    <mergeCell ref="J27:K28"/>
    <mergeCell ref="L27:M28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0"/>
  <sheetViews>
    <sheetView topLeftCell="E1" workbookViewId="0">
      <selection activeCell="H2" sqref="H2:H50"/>
    </sheetView>
  </sheetViews>
  <sheetFormatPr defaultRowHeight="15" x14ac:dyDescent="0.5"/>
  <cols>
    <col min="1" max="1" width="4.87890625" bestFit="1" customWidth="1"/>
    <col min="2" max="3" width="4.76171875" bestFit="1" customWidth="1"/>
    <col min="4" max="4" width="4.64453125" bestFit="1" customWidth="1"/>
    <col min="5" max="6" width="4.76171875" customWidth="1"/>
    <col min="7" max="7" width="36" bestFit="1" customWidth="1"/>
    <col min="8" max="8" width="51.64453125" bestFit="1" customWidth="1"/>
  </cols>
  <sheetData>
    <row r="1" spans="1:8" x14ac:dyDescent="0.5">
      <c r="A1" t="s">
        <v>72</v>
      </c>
      <c r="B1" t="s">
        <v>73</v>
      </c>
      <c r="C1" t="s">
        <v>74</v>
      </c>
      <c r="D1" t="s">
        <v>75</v>
      </c>
      <c r="E1" t="s">
        <v>76</v>
      </c>
      <c r="F1" t="s">
        <v>109</v>
      </c>
      <c r="G1" t="s">
        <v>77</v>
      </c>
      <c r="H1" t="s">
        <v>78</v>
      </c>
    </row>
    <row r="2" spans="1:8" x14ac:dyDescent="0.5">
      <c r="A2">
        <v>1</v>
      </c>
      <c r="B2">
        <f t="shared" ref="B2:B33" si="0">_xlfn.FLOOR.MATH((A2-1)/8) + 1</f>
        <v>1</v>
      </c>
      <c r="C2">
        <f t="shared" ref="C2:C33" si="1">A2-(B2-1)*8</f>
        <v>1</v>
      </c>
      <c r="D2">
        <f t="shared" ref="D2:D33" si="2">(B2-1)*20 + 18</f>
        <v>18</v>
      </c>
      <c r="E2">
        <f t="shared" ref="E2:E33" si="3">(C2-1)*17+3</f>
        <v>3</v>
      </c>
      <c r="F2">
        <f>INDEX(block!A:EF,block_gen!D2-16,block_gen!E2-1)</f>
        <v>1</v>
      </c>
      <c r="G2" t="str">
        <f ca="1">INDEX(block!A:EG,block_gen!D2,block_gen!E2)</f>
        <v>(0,0,6,);</v>
      </c>
      <c r="H2" t="str">
        <f ca="1">HexStrToLua(A2, F2,G2)</f>
        <v>{type=1, color_id=6, class=1, pos_list={{0, 0},}},</v>
      </c>
    </row>
    <row r="3" spans="1:8" x14ac:dyDescent="0.5">
      <c r="A3">
        <v>2</v>
      </c>
      <c r="B3">
        <f t="shared" si="0"/>
        <v>1</v>
      </c>
      <c r="C3">
        <f t="shared" si="1"/>
        <v>2</v>
      </c>
      <c r="D3">
        <f t="shared" si="2"/>
        <v>18</v>
      </c>
      <c r="E3">
        <f t="shared" si="3"/>
        <v>20</v>
      </c>
      <c r="F3">
        <f>INDEX(block!A:EF,block_gen!D3-16,block_gen!E3-1)</f>
        <v>1</v>
      </c>
      <c r="G3" t="str">
        <f ca="1">INDEX(block!A:EG,block_gen!D3,block_gen!E3)</f>
        <v>(-2,0,1,);(0,0,1,);(2,0,1,);(4,0,1,);</v>
      </c>
      <c r="H3" t="str">
        <f t="shared" ref="H3:H50" ca="1" si="4">HexStrToLua(A3, F3,G3)</f>
        <v>{type=2, color_id=1, class=1, pos_list={{-2, 0},{0, 0},{2, 0},{4, 0},}},</v>
      </c>
    </row>
    <row r="4" spans="1:8" x14ac:dyDescent="0.5">
      <c r="A4">
        <v>3</v>
      </c>
      <c r="B4">
        <f t="shared" si="0"/>
        <v>1</v>
      </c>
      <c r="C4">
        <f t="shared" si="1"/>
        <v>3</v>
      </c>
      <c r="D4">
        <f t="shared" si="2"/>
        <v>18</v>
      </c>
      <c r="E4">
        <f t="shared" si="3"/>
        <v>37</v>
      </c>
      <c r="F4">
        <f>INDEX(block!A:EF,block_gen!D4-16,block_gen!E4-1)</f>
        <v>1</v>
      </c>
      <c r="G4" t="str">
        <f ca="1">INDEX(block!A:EG,block_gen!D4,block_gen!E4)</f>
        <v>(2,-4,1,);(1,-2,1,);(0,0,1,);(-1,2,1,);</v>
      </c>
      <c r="H4" t="str">
        <f t="shared" ca="1" si="4"/>
        <v>{type=3, color_id=1, class=1, pos_list={{2, -4},{1, -2},{0, 0},{-1, 2},}},</v>
      </c>
    </row>
    <row r="5" spans="1:8" x14ac:dyDescent="0.5">
      <c r="A5">
        <v>4</v>
      </c>
      <c r="B5">
        <f t="shared" si="0"/>
        <v>1</v>
      </c>
      <c r="C5">
        <f t="shared" si="1"/>
        <v>4</v>
      </c>
      <c r="D5">
        <f t="shared" si="2"/>
        <v>18</v>
      </c>
      <c r="E5">
        <f t="shared" si="3"/>
        <v>54</v>
      </c>
      <c r="F5">
        <f>INDEX(block!A:EF,block_gen!D5-16,block_gen!E5-1)</f>
        <v>1</v>
      </c>
      <c r="G5" t="str">
        <f ca="1">INDEX(block!A:EG,block_gen!D5,block_gen!E5)</f>
        <v>(-1,-2,1,);(0,0,1,);(1,2,1,);(2,4,1,);</v>
      </c>
      <c r="H5" t="str">
        <f t="shared" ca="1" si="4"/>
        <v>{type=4, color_id=1, class=1, pos_list={{-1, -2},{0, 0},{1, 2},{2, 4},}},</v>
      </c>
    </row>
    <row r="6" spans="1:8" x14ac:dyDescent="0.5">
      <c r="A6">
        <v>5</v>
      </c>
      <c r="B6">
        <f t="shared" si="0"/>
        <v>1</v>
      </c>
      <c r="C6">
        <f t="shared" si="1"/>
        <v>5</v>
      </c>
      <c r="D6">
        <f t="shared" si="2"/>
        <v>18</v>
      </c>
      <c r="E6">
        <f t="shared" si="3"/>
        <v>71</v>
      </c>
      <c r="F6">
        <f>INDEX(block!A:EF,block_gen!D6-16,block_gen!E6-1)</f>
        <v>2</v>
      </c>
      <c r="G6" t="str">
        <f ca="1">INDEX(block!A:EG,block_gen!D6,block_gen!E6)</f>
        <v>(1,-2,5,);(-2,0,5,);(0,0,5,);(2,0,5,);</v>
      </c>
      <c r="H6" t="str">
        <f t="shared" ca="1" si="4"/>
        <v>{type=5, color_id=5, class=2, pos_list={{1, -2},{-2, 0},{0, 0},{2, 0},}},</v>
      </c>
    </row>
    <row r="7" spans="1:8" x14ac:dyDescent="0.5">
      <c r="A7">
        <v>6</v>
      </c>
      <c r="B7">
        <f t="shared" si="0"/>
        <v>1</v>
      </c>
      <c r="C7">
        <f t="shared" si="1"/>
        <v>6</v>
      </c>
      <c r="D7">
        <f t="shared" si="2"/>
        <v>18</v>
      </c>
      <c r="E7">
        <f t="shared" si="3"/>
        <v>88</v>
      </c>
      <c r="F7">
        <f>INDEX(block!A:EF,block_gen!D7-16,block_gen!E7-1)</f>
        <v>2</v>
      </c>
      <c r="G7" t="str">
        <f ca="1">INDEX(block!A:EG,block_gen!D7,block_gen!E7)</f>
        <v>(-1,-2,5,);(-2,0,5,);(0,0,5,);(2,0,5,);</v>
      </c>
      <c r="H7" t="str">
        <f t="shared" ca="1" si="4"/>
        <v>{type=6, color_id=5, class=2, pos_list={{-1, -2},{-2, 0},{0, 0},{2, 0},}},</v>
      </c>
    </row>
    <row r="8" spans="1:8" x14ac:dyDescent="0.5">
      <c r="A8">
        <v>7</v>
      </c>
      <c r="B8">
        <f t="shared" si="0"/>
        <v>1</v>
      </c>
      <c r="C8">
        <f t="shared" si="1"/>
        <v>7</v>
      </c>
      <c r="D8">
        <f t="shared" si="2"/>
        <v>18</v>
      </c>
      <c r="E8">
        <f t="shared" si="3"/>
        <v>105</v>
      </c>
      <c r="F8">
        <f>INDEX(block!A:EF,block_gen!D8-16,block_gen!E8-1)</f>
        <v>2</v>
      </c>
      <c r="G8" t="str">
        <f ca="1">INDEX(block!A:EG,block_gen!D8,block_gen!E8)</f>
        <v>(-2,0,5,);(0,0,5,);(2,0,5,);(-1,2,5,);</v>
      </c>
      <c r="H8" t="str">
        <f t="shared" ca="1" si="4"/>
        <v>{type=7, color_id=5, class=2, pos_list={{-2, 0},{0, 0},{2, 0},{-1, 2},}},</v>
      </c>
    </row>
    <row r="9" spans="1:8" x14ac:dyDescent="0.5">
      <c r="A9">
        <v>8</v>
      </c>
      <c r="B9">
        <f t="shared" si="0"/>
        <v>1</v>
      </c>
      <c r="C9">
        <f t="shared" si="1"/>
        <v>8</v>
      </c>
      <c r="D9">
        <f t="shared" si="2"/>
        <v>18</v>
      </c>
      <c r="E9">
        <f t="shared" si="3"/>
        <v>122</v>
      </c>
      <c r="F9">
        <f>INDEX(block!A:EF,block_gen!D9-16,block_gen!E9-1)</f>
        <v>2</v>
      </c>
      <c r="G9" t="str">
        <f ca="1">INDEX(block!A:EG,block_gen!D9,block_gen!E9)</f>
        <v>(-2,0,5,);(0,0,5,);(2,0,5,);(1,2,5,);</v>
      </c>
      <c r="H9" t="str">
        <f t="shared" ca="1" si="4"/>
        <v>{type=8, color_id=5, class=2, pos_list={{-2, 0},{0, 0},{2, 0},{1, 2},}},</v>
      </c>
    </row>
    <row r="10" spans="1:8" x14ac:dyDescent="0.5">
      <c r="A10">
        <v>9</v>
      </c>
      <c r="B10">
        <f t="shared" si="0"/>
        <v>2</v>
      </c>
      <c r="C10">
        <f t="shared" si="1"/>
        <v>1</v>
      </c>
      <c r="D10">
        <f t="shared" si="2"/>
        <v>38</v>
      </c>
      <c r="E10">
        <f t="shared" si="3"/>
        <v>3</v>
      </c>
      <c r="F10">
        <f>INDEX(block!A:EF,block_gen!D10-16,block_gen!E10-1)</f>
        <v>2</v>
      </c>
      <c r="G10" t="str">
        <f ca="1">INDEX(block!A:EG,block_gen!D10,block_gen!E10)</f>
        <v>(-1,-2,2,);(1,-2,2,);(-2,0,2,);(0,0,2,);</v>
      </c>
      <c r="H10" t="str">
        <f t="shared" ca="1" si="4"/>
        <v>{type=9, color_id=2, class=2, pos_list={{-1, -2},{1, -2},{-2, 0},{0, 0},}},</v>
      </c>
    </row>
    <row r="11" spans="1:8" x14ac:dyDescent="0.5">
      <c r="A11">
        <v>10</v>
      </c>
      <c r="B11">
        <f t="shared" si="0"/>
        <v>2</v>
      </c>
      <c r="C11">
        <f t="shared" si="1"/>
        <v>2</v>
      </c>
      <c r="D11">
        <f t="shared" si="2"/>
        <v>38</v>
      </c>
      <c r="E11">
        <f t="shared" si="3"/>
        <v>20</v>
      </c>
      <c r="F11">
        <f>INDEX(block!A:EF,block_gen!D11-16,block_gen!E11-1)</f>
        <v>2</v>
      </c>
      <c r="G11" t="str">
        <f ca="1">INDEX(block!A:EG,block_gen!D11,block_gen!E11)</f>
        <v>(-1,-2,2,);(1,-2,2,);(0,0,2,);(2,0,2,);</v>
      </c>
      <c r="H11" t="str">
        <f t="shared" ca="1" si="4"/>
        <v>{type=10, color_id=2, class=2, pos_list={{-1, -2},{1, -2},{0, 0},{2, 0},}},</v>
      </c>
    </row>
    <row r="12" spans="1:8" x14ac:dyDescent="0.5">
      <c r="A12">
        <v>11</v>
      </c>
      <c r="B12">
        <f t="shared" si="0"/>
        <v>2</v>
      </c>
      <c r="C12">
        <f t="shared" si="1"/>
        <v>3</v>
      </c>
      <c r="D12">
        <f t="shared" si="2"/>
        <v>38</v>
      </c>
      <c r="E12">
        <f t="shared" si="3"/>
        <v>37</v>
      </c>
      <c r="F12">
        <f>INDEX(block!A:EF,block_gen!D12-16,block_gen!E12-1)</f>
        <v>2</v>
      </c>
      <c r="G12" t="str">
        <f ca="1">INDEX(block!A:EG,block_gen!D12,block_gen!E12)</f>
        <v>(-1,-2,2,);(-2,0,2,);(0,0,2,);(-1,2,2,);</v>
      </c>
      <c r="H12" t="str">
        <f t="shared" ca="1" si="4"/>
        <v>{type=11, color_id=2, class=2, pos_list={{-1, -2},{-2, 0},{0, 0},{-1, 2},}},</v>
      </c>
    </row>
    <row r="13" spans="1:8" x14ac:dyDescent="0.5">
      <c r="A13">
        <v>12</v>
      </c>
      <c r="B13">
        <f t="shared" si="0"/>
        <v>2</v>
      </c>
      <c r="C13">
        <f t="shared" si="1"/>
        <v>4</v>
      </c>
      <c r="D13">
        <f t="shared" si="2"/>
        <v>38</v>
      </c>
      <c r="E13">
        <f t="shared" si="3"/>
        <v>54</v>
      </c>
      <c r="F13">
        <f>INDEX(block!A:EF,block_gen!D13-16,block_gen!E13-1)</f>
        <v>2</v>
      </c>
      <c r="G13" t="str">
        <f ca="1">INDEX(block!A:EG,block_gen!D13,block_gen!E13)</f>
        <v>(1,-2,4,);(-2,0,4,);(0,0,4,);(-1,2,4,);</v>
      </c>
      <c r="H13" t="str">
        <f t="shared" ca="1" si="4"/>
        <v>{type=12, color_id=4, class=2, pos_list={{1, -2},{-2, 0},{0, 0},{-1, 2},}},</v>
      </c>
    </row>
    <row r="14" spans="1:8" x14ac:dyDescent="0.5">
      <c r="A14">
        <v>13</v>
      </c>
      <c r="B14">
        <f t="shared" si="0"/>
        <v>2</v>
      </c>
      <c r="C14">
        <f t="shared" si="1"/>
        <v>5</v>
      </c>
      <c r="D14">
        <f t="shared" si="2"/>
        <v>38</v>
      </c>
      <c r="E14">
        <f t="shared" si="3"/>
        <v>71</v>
      </c>
      <c r="F14">
        <f>INDEX(block!A:EF,block_gen!D14-16,block_gen!E14-1)</f>
        <v>2</v>
      </c>
      <c r="G14" t="str">
        <f ca="1">INDEX(block!A:EG,block_gen!D14,block_gen!E14)</f>
        <v>(1,-2,4,);(0,0,4,);(-1,2,4,);(1,2,4,);</v>
      </c>
      <c r="H14" t="str">
        <f t="shared" ca="1" si="4"/>
        <v>{type=13, color_id=4, class=2, pos_list={{1, -2},{0, 0},{-1, 2},{1, 2},}},</v>
      </c>
    </row>
    <row r="15" spans="1:8" x14ac:dyDescent="0.5">
      <c r="A15">
        <v>14</v>
      </c>
      <c r="B15">
        <f t="shared" si="0"/>
        <v>2</v>
      </c>
      <c r="C15">
        <f t="shared" si="1"/>
        <v>6</v>
      </c>
      <c r="D15">
        <f t="shared" si="2"/>
        <v>38</v>
      </c>
      <c r="E15">
        <f t="shared" si="3"/>
        <v>88</v>
      </c>
      <c r="F15">
        <f>INDEX(block!A:EF,block_gen!D15-16,block_gen!E15-1)</f>
        <v>2</v>
      </c>
      <c r="G15" t="str">
        <f ca="1">INDEX(block!A:EG,block_gen!D15,block_gen!E15)</f>
        <v>(1,-2,4,);(0,0,4,);(2,0,4,);(-1,2,4,);</v>
      </c>
      <c r="H15" t="str">
        <f t="shared" ca="1" si="4"/>
        <v>{type=14, color_id=4, class=2, pos_list={{1, -2},{0, 0},{2, 0},{-1, 2},}},</v>
      </c>
    </row>
    <row r="16" spans="1:8" x14ac:dyDescent="0.5">
      <c r="A16">
        <v>15</v>
      </c>
      <c r="B16">
        <f t="shared" si="0"/>
        <v>2</v>
      </c>
      <c r="C16">
        <f t="shared" si="1"/>
        <v>7</v>
      </c>
      <c r="D16">
        <f t="shared" si="2"/>
        <v>38</v>
      </c>
      <c r="E16">
        <f t="shared" si="3"/>
        <v>105</v>
      </c>
      <c r="F16">
        <f>INDEX(block!A:EF,block_gen!D16-16,block_gen!E16-1)</f>
        <v>2</v>
      </c>
      <c r="G16" t="str">
        <f ca="1">INDEX(block!A:EG,block_gen!D16,block_gen!E16)</f>
        <v>(-1,-2,4,);(1,-2,4,);(0,0,4,);(-1,2,4,);</v>
      </c>
      <c r="H16" t="str">
        <f t="shared" ca="1" si="4"/>
        <v>{type=15, color_id=4, class=2, pos_list={{-1, -2},{1, -2},{0, 0},{-1, 2},}},</v>
      </c>
    </row>
    <row r="17" spans="1:8" x14ac:dyDescent="0.5">
      <c r="A17">
        <v>16</v>
      </c>
      <c r="B17">
        <f t="shared" si="0"/>
        <v>2</v>
      </c>
      <c r="C17">
        <f t="shared" si="1"/>
        <v>8</v>
      </c>
      <c r="D17">
        <f t="shared" si="2"/>
        <v>38</v>
      </c>
      <c r="E17">
        <f t="shared" si="3"/>
        <v>122</v>
      </c>
      <c r="F17">
        <f>INDEX(block!A:EF,block_gen!D17-16,block_gen!E17-1)</f>
        <v>2</v>
      </c>
      <c r="G17" t="str">
        <f ca="1">INDEX(block!A:EG,block_gen!D17,block_gen!E17)</f>
        <v>(-1,-2,4,);(0,0,4,);(-1,2,4,);(1,2,4,);</v>
      </c>
      <c r="H17" t="str">
        <f t="shared" ca="1" si="4"/>
        <v>{type=16, color_id=4, class=2, pos_list={{-1, -2},{0, 0},{-1, 2},{1, 2},}},</v>
      </c>
    </row>
    <row r="18" spans="1:8" x14ac:dyDescent="0.5">
      <c r="A18">
        <v>17</v>
      </c>
      <c r="B18">
        <f t="shared" si="0"/>
        <v>3</v>
      </c>
      <c r="C18">
        <f t="shared" si="1"/>
        <v>1</v>
      </c>
      <c r="D18">
        <f t="shared" si="2"/>
        <v>58</v>
      </c>
      <c r="E18">
        <f t="shared" si="3"/>
        <v>3</v>
      </c>
      <c r="F18">
        <f>INDEX(block!A:EF,block_gen!D18-16,block_gen!E18-1)</f>
        <v>2</v>
      </c>
      <c r="G18" t="str">
        <f ca="1">INDEX(block!A:EG,block_gen!D18,block_gen!E18)</f>
        <v>(-1,-2,4,);(0,0,4,);(2,0,4,);(1,2,4,);</v>
      </c>
      <c r="H18" t="str">
        <f t="shared" ca="1" si="4"/>
        <v>{type=17, color_id=4, class=2, pos_list={{-1, -2},{0, 0},{2, 0},{1, 2},}},</v>
      </c>
    </row>
    <row r="19" spans="1:8" x14ac:dyDescent="0.5">
      <c r="A19">
        <v>18</v>
      </c>
      <c r="B19">
        <f t="shared" si="0"/>
        <v>3</v>
      </c>
      <c r="C19">
        <f t="shared" si="1"/>
        <v>2</v>
      </c>
      <c r="D19">
        <f t="shared" si="2"/>
        <v>58</v>
      </c>
      <c r="E19">
        <f t="shared" si="3"/>
        <v>20</v>
      </c>
      <c r="F19">
        <f>INDEX(block!A:EF,block_gen!D19-16,block_gen!E19-1)</f>
        <v>2</v>
      </c>
      <c r="G19" t="str">
        <f ca="1">INDEX(block!A:EG,block_gen!D19,block_gen!E19)</f>
        <v>(-1,-2,4,);(-2,0,4,);(0,0,4,);(1,2,4,);</v>
      </c>
      <c r="H19" t="str">
        <f t="shared" ca="1" si="4"/>
        <v>{type=18, color_id=4, class=2, pos_list={{-1, -2},{-2, 0},{0, 0},{1, 2},}},</v>
      </c>
    </row>
    <row r="20" spans="1:8" x14ac:dyDescent="0.5">
      <c r="A20">
        <v>19</v>
      </c>
      <c r="B20">
        <f t="shared" si="0"/>
        <v>3</v>
      </c>
      <c r="C20">
        <f t="shared" si="1"/>
        <v>3</v>
      </c>
      <c r="D20">
        <f t="shared" si="2"/>
        <v>58</v>
      </c>
      <c r="E20">
        <f t="shared" si="3"/>
        <v>37</v>
      </c>
      <c r="F20">
        <f>INDEX(block!A:EF,block_gen!D20-16,block_gen!E20-1)</f>
        <v>2</v>
      </c>
      <c r="G20" t="str">
        <f ca="1">INDEX(block!A:EG,block_gen!D20,block_gen!E20)</f>
        <v>(-1,-2,4,);(1,-2,4,);(0,0,4,);(1,2,4,);</v>
      </c>
      <c r="H20" t="str">
        <f t="shared" ca="1" si="4"/>
        <v>{type=19, color_id=4, class=2, pos_list={{-1, -2},{1, -2},{0, 0},{1, 2},}},</v>
      </c>
    </row>
    <row r="21" spans="1:8" x14ac:dyDescent="0.5">
      <c r="A21">
        <v>20</v>
      </c>
      <c r="B21">
        <f t="shared" si="0"/>
        <v>3</v>
      </c>
      <c r="C21">
        <f t="shared" si="1"/>
        <v>4</v>
      </c>
      <c r="D21">
        <f t="shared" si="2"/>
        <v>58</v>
      </c>
      <c r="E21">
        <f t="shared" si="3"/>
        <v>54</v>
      </c>
      <c r="F21">
        <f>INDEX(block!A:EF,block_gen!D21-16,block_gen!E21-1)</f>
        <v>3</v>
      </c>
      <c r="G21" t="str">
        <f ca="1">INDEX(block!A:EG,block_gen!D21,block_gen!E21)</f>
        <v>(-1,-2,3,);(-2,0,3,);(-1,2,3,);(1,2,3,);</v>
      </c>
      <c r="H21" t="str">
        <f t="shared" ca="1" si="4"/>
        <v>{type=20, color_id=3, class=3, pos_list={{-1, -2},{-2, 0},{-1, 2},{1, 2},}},</v>
      </c>
    </row>
    <row r="22" spans="1:8" x14ac:dyDescent="0.5">
      <c r="A22">
        <v>21</v>
      </c>
      <c r="B22">
        <f t="shared" si="0"/>
        <v>3</v>
      </c>
      <c r="C22">
        <f t="shared" si="1"/>
        <v>5</v>
      </c>
      <c r="D22">
        <f t="shared" si="2"/>
        <v>58</v>
      </c>
      <c r="E22">
        <f t="shared" si="3"/>
        <v>71</v>
      </c>
      <c r="F22">
        <f>INDEX(block!A:EF,block_gen!D22-16,block_gen!E22-1)</f>
        <v>3</v>
      </c>
      <c r="G22" t="str">
        <f ca="1">INDEX(block!A:EG,block_gen!D22,block_gen!E22)</f>
        <v>(1,-2,3,);(2,0,3,);(-1,2,3,);(1,2,3,);</v>
      </c>
      <c r="H22" t="str">
        <f t="shared" ca="1" si="4"/>
        <v>{type=21, color_id=3, class=3, pos_list={{1, -2},{2, 0},{-1, 2},{1, 2},}},</v>
      </c>
    </row>
    <row r="23" spans="1:8" x14ac:dyDescent="0.5">
      <c r="A23">
        <v>22</v>
      </c>
      <c r="B23">
        <f t="shared" si="0"/>
        <v>3</v>
      </c>
      <c r="C23">
        <f t="shared" si="1"/>
        <v>6</v>
      </c>
      <c r="D23">
        <f t="shared" si="2"/>
        <v>58</v>
      </c>
      <c r="E23">
        <f t="shared" si="3"/>
        <v>88</v>
      </c>
      <c r="F23">
        <f>INDEX(block!A:EF,block_gen!D23-16,block_gen!E23-1)</f>
        <v>3</v>
      </c>
      <c r="G23" t="str">
        <f ca="1">INDEX(block!A:EG,block_gen!D23,block_gen!E23)</f>
        <v>(-1,-2,3,);(1,-2,3,);(-2,0,3,);(-1,2,3,);</v>
      </c>
      <c r="H23" t="str">
        <f t="shared" ca="1" si="4"/>
        <v>{type=22, color_id=3, class=3, pos_list={{-1, -2},{1, -2},{-2, 0},{-1, 2},}},</v>
      </c>
    </row>
    <row r="24" spans="1:8" x14ac:dyDescent="0.5">
      <c r="A24">
        <v>23</v>
      </c>
      <c r="B24">
        <f t="shared" si="0"/>
        <v>3</v>
      </c>
      <c r="C24">
        <f t="shared" si="1"/>
        <v>7</v>
      </c>
      <c r="D24">
        <f t="shared" si="2"/>
        <v>58</v>
      </c>
      <c r="E24">
        <f t="shared" si="3"/>
        <v>105</v>
      </c>
      <c r="F24">
        <f>INDEX(block!A:EF,block_gen!D24-16,block_gen!E24-1)</f>
        <v>3</v>
      </c>
      <c r="G24" t="str">
        <f ca="1">INDEX(block!A:EG,block_gen!D24,block_gen!E24)</f>
        <v>(-1,-2,3,);(1,-2,3,);(2,0,3,);(1,2,3,);</v>
      </c>
      <c r="H24" t="str">
        <f t="shared" ca="1" si="4"/>
        <v>{type=23, color_id=3, class=3, pos_list={{-1, -2},{1, -2},{2, 0},{1, 2},}},</v>
      </c>
    </row>
    <row r="25" spans="1:8" x14ac:dyDescent="0.5">
      <c r="A25">
        <v>24</v>
      </c>
      <c r="B25">
        <f t="shared" si="0"/>
        <v>3</v>
      </c>
      <c r="C25">
        <f t="shared" si="1"/>
        <v>8</v>
      </c>
      <c r="D25">
        <f t="shared" si="2"/>
        <v>58</v>
      </c>
      <c r="E25">
        <f t="shared" si="3"/>
        <v>122</v>
      </c>
      <c r="F25">
        <f>INDEX(block!A:EF,block_gen!D25-16,block_gen!E25-1)</f>
        <v>3</v>
      </c>
      <c r="G25" t="str">
        <f ca="1">INDEX(block!A:EG,block_gen!D25,block_gen!E25)</f>
        <v>(-2,0,3,);(2,0,3,);(-1,2,3,);(1,2,3,);</v>
      </c>
      <c r="H25" t="str">
        <f t="shared" ca="1" si="4"/>
        <v>{type=24, color_id=3, class=3, pos_list={{-2, 0},{2, 0},{-1, 2},{1, 2},}},</v>
      </c>
    </row>
    <row r="26" spans="1:8" x14ac:dyDescent="0.5">
      <c r="A26">
        <v>25</v>
      </c>
      <c r="B26">
        <f t="shared" si="0"/>
        <v>4</v>
      </c>
      <c r="C26">
        <f t="shared" si="1"/>
        <v>1</v>
      </c>
      <c r="D26">
        <f t="shared" si="2"/>
        <v>78</v>
      </c>
      <c r="E26">
        <f t="shared" si="3"/>
        <v>3</v>
      </c>
      <c r="F26">
        <f>INDEX(block!A:EF,block_gen!D26-16,block_gen!E26-1)</f>
        <v>3</v>
      </c>
      <c r="G26" t="str">
        <f ca="1">INDEX(block!A:EG,block_gen!D26,block_gen!E26)</f>
        <v>(-1,-2,3,);(1,-2,3,);(-2,0,3,);(2,0,3,);</v>
      </c>
      <c r="H26" t="str">
        <f t="shared" ca="1" si="4"/>
        <v>{type=25, color_id=3, class=3, pos_list={{-1, -2},{1, -2},{-2, 0},{2, 0},}},</v>
      </c>
    </row>
    <row r="27" spans="1:8" x14ac:dyDescent="0.5">
      <c r="A27">
        <v>26</v>
      </c>
      <c r="B27">
        <f t="shared" si="0"/>
        <v>4</v>
      </c>
      <c r="C27">
        <f t="shared" si="1"/>
        <v>2</v>
      </c>
      <c r="D27">
        <f t="shared" si="2"/>
        <v>78</v>
      </c>
      <c r="E27">
        <f t="shared" si="3"/>
        <v>20</v>
      </c>
      <c r="F27">
        <f>INDEX(block!A:EF,block_gen!D27-16,block_gen!E27-1)</f>
        <v>4</v>
      </c>
      <c r="G27" t="str">
        <f ca="1">INDEX(block!A:EG,block_gen!D27,block_gen!E27)</f>
        <v>(-1,-2,6,);(1,-2,6,);(0,0,6,);(-1,2,6,);(1,2,6,);</v>
      </c>
      <c r="H27" t="str">
        <f t="shared" ca="1" si="4"/>
        <v>{type=26, color_id=6, class=4, pos_list={{-1, -2},{1, -2},{0, 0},{-1, 2},{1, 2},}},</v>
      </c>
    </row>
    <row r="28" spans="1:8" x14ac:dyDescent="0.5">
      <c r="A28">
        <v>27</v>
      </c>
      <c r="B28">
        <f t="shared" si="0"/>
        <v>4</v>
      </c>
      <c r="C28">
        <f t="shared" si="1"/>
        <v>3</v>
      </c>
      <c r="D28">
        <f t="shared" si="2"/>
        <v>78</v>
      </c>
      <c r="E28">
        <f t="shared" si="3"/>
        <v>37</v>
      </c>
      <c r="F28">
        <f>INDEX(block!A:EF,block_gen!D28-16,block_gen!E28-1)</f>
        <v>4</v>
      </c>
      <c r="G28" t="str">
        <f ca="1">INDEX(block!A:EG,block_gen!D28,block_gen!E28)</f>
        <v>(1,-2,6,);(-2,0,6,);(0,0,6,);(2,0,6,);(1,2,6,);</v>
      </c>
      <c r="H28" t="str">
        <f t="shared" ca="1" si="4"/>
        <v>{type=27, color_id=6, class=4, pos_list={{1, -2},{-2, 0},{0, 0},{2, 0},{1, 2},}},</v>
      </c>
    </row>
    <row r="29" spans="1:8" x14ac:dyDescent="0.5">
      <c r="A29">
        <v>28</v>
      </c>
      <c r="B29">
        <f t="shared" si="0"/>
        <v>4</v>
      </c>
      <c r="C29">
        <f t="shared" si="1"/>
        <v>4</v>
      </c>
      <c r="D29">
        <f t="shared" si="2"/>
        <v>78</v>
      </c>
      <c r="E29">
        <f t="shared" si="3"/>
        <v>54</v>
      </c>
      <c r="F29">
        <f>INDEX(block!A:EF,block_gen!D29-16,block_gen!E29-1)</f>
        <v>4</v>
      </c>
      <c r="G29" t="str">
        <f ca="1">INDEX(block!A:EG,block_gen!D29,block_gen!E29)</f>
        <v>(-1,-2,6,);(-2,0,6,);(0,0,6,);(2,0,6,);(-1,2,6,);</v>
      </c>
      <c r="H29" t="str">
        <f t="shared" ca="1" si="4"/>
        <v>{type=28, color_id=6, class=4, pos_list={{-1, -2},{-2, 0},{0, 0},{2, 0},{-1, 2},}},</v>
      </c>
    </row>
    <row r="30" spans="1:8" x14ac:dyDescent="0.5">
      <c r="A30">
        <v>29</v>
      </c>
      <c r="B30">
        <f t="shared" si="0"/>
        <v>4</v>
      </c>
      <c r="C30">
        <f t="shared" si="1"/>
        <v>5</v>
      </c>
      <c r="D30">
        <f t="shared" si="2"/>
        <v>78</v>
      </c>
      <c r="E30">
        <f t="shared" si="3"/>
        <v>71</v>
      </c>
      <c r="F30">
        <f>INDEX(block!A:EF,block_gen!D30-16,block_gen!E30-1)</f>
        <v>4</v>
      </c>
      <c r="G30" t="str">
        <f ca="1">INDEX(block!A:EG,block_gen!D30,block_gen!E30)</f>
        <v>(-1,-2,6,);(-2,0,6,);(0,0,6,);(2,0,6,);(1,2,6,);</v>
      </c>
      <c r="H30" t="str">
        <f t="shared" ca="1" si="4"/>
        <v>{type=29, color_id=6, class=4, pos_list={{-1, -2},{-2, 0},{0, 0},{2, 0},{1, 2},}},</v>
      </c>
    </row>
    <row r="31" spans="1:8" x14ac:dyDescent="0.5">
      <c r="A31">
        <v>30</v>
      </c>
      <c r="B31">
        <f t="shared" si="0"/>
        <v>4</v>
      </c>
      <c r="C31">
        <f t="shared" si="1"/>
        <v>6</v>
      </c>
      <c r="D31">
        <f t="shared" si="2"/>
        <v>78</v>
      </c>
      <c r="E31">
        <f t="shared" si="3"/>
        <v>88</v>
      </c>
      <c r="F31">
        <f>INDEX(block!A:EF,block_gen!D31-16,block_gen!E31-1)</f>
        <v>4</v>
      </c>
      <c r="G31" t="str">
        <f ca="1">INDEX(block!A:EG,block_gen!D31,block_gen!E31)</f>
        <v>(1,-2,6,);(-2,0,6,);(0,0,6,);(2,0,6,);(-1,2,6,);</v>
      </c>
      <c r="H31" t="str">
        <f t="shared" ca="1" si="4"/>
        <v>{type=30, color_id=6, class=4, pos_list={{1, -2},{-2, 0},{0, 0},{2, 0},{-1, 2},}},</v>
      </c>
    </row>
    <row r="32" spans="1:8" x14ac:dyDescent="0.5">
      <c r="A32">
        <v>31</v>
      </c>
      <c r="B32">
        <f t="shared" si="0"/>
        <v>4</v>
      </c>
      <c r="C32">
        <f t="shared" si="1"/>
        <v>7</v>
      </c>
      <c r="D32">
        <f t="shared" si="2"/>
        <v>78</v>
      </c>
      <c r="E32">
        <f t="shared" si="3"/>
        <v>105</v>
      </c>
      <c r="F32">
        <f>INDEX(block!A:EF,block_gen!D32-16,block_gen!E32-1)</f>
        <v>4</v>
      </c>
      <c r="G32" t="str">
        <f ca="1">INDEX(block!A:EG,block_gen!D32,block_gen!E32)</f>
        <v>(1,-2,3,);(0,0,3,);(2,0,3,);(-1,2,3,);(1,2,3,);</v>
      </c>
      <c r="H32" t="str">
        <f t="shared" ca="1" si="4"/>
        <v>{type=31, color_id=3, class=4, pos_list={{1, -2},{0, 0},{2, 0},{-1, 2},{1, 2},}},</v>
      </c>
    </row>
    <row r="33" spans="1:8" x14ac:dyDescent="0.5">
      <c r="A33">
        <v>32</v>
      </c>
      <c r="B33">
        <f t="shared" si="0"/>
        <v>4</v>
      </c>
      <c r="C33">
        <f t="shared" si="1"/>
        <v>8</v>
      </c>
      <c r="D33">
        <f t="shared" si="2"/>
        <v>78</v>
      </c>
      <c r="E33">
        <f t="shared" si="3"/>
        <v>122</v>
      </c>
      <c r="F33">
        <f>INDEX(block!A:EF,block_gen!D33-16,block_gen!E33-1)</f>
        <v>4</v>
      </c>
      <c r="G33" t="str">
        <f ca="1">INDEX(block!A:EG,block_gen!D33,block_gen!E33)</f>
        <v>(-2,0,3,);(0,0,3,);(2,0,3,);(-1,2,3,);(1,2,3,);</v>
      </c>
      <c r="H33" t="str">
        <f t="shared" ca="1" si="4"/>
        <v>{type=32, color_id=3, class=4, pos_list={{-2, 0},{0, 0},{2, 0},{-1, 2},{1, 2},}},</v>
      </c>
    </row>
    <row r="34" spans="1:8" x14ac:dyDescent="0.5">
      <c r="A34">
        <v>33</v>
      </c>
      <c r="B34">
        <f t="shared" ref="B34:B50" si="5">_xlfn.FLOOR.MATH((A34-1)/8) + 1</f>
        <v>5</v>
      </c>
      <c r="C34">
        <f t="shared" ref="C34:C50" si="6">A34-(B34-1)*8</f>
        <v>1</v>
      </c>
      <c r="D34">
        <f t="shared" ref="D34:D50" si="7">(B34-1)*20 + 18</f>
        <v>98</v>
      </c>
      <c r="E34">
        <f t="shared" ref="E34:E50" si="8">(C34-1)*17+3</f>
        <v>3</v>
      </c>
      <c r="F34">
        <f>INDEX(block!A:EF,block_gen!D34-16,block_gen!E34-1)</f>
        <v>4</v>
      </c>
      <c r="G34" t="str">
        <f ca="1">INDEX(block!A:EG,block_gen!D34,block_gen!E34)</f>
        <v>(-1,-2,3,);(-2,0,3,);(0,0,3,);(-1,2,3,);(1,2,3,);</v>
      </c>
      <c r="H34" t="str">
        <f t="shared" ca="1" si="4"/>
        <v>{type=33, color_id=3, class=4, pos_list={{-1, -2},{-2, 0},{0, 0},{-1, 2},{1, 2},}},</v>
      </c>
    </row>
    <row r="35" spans="1:8" x14ac:dyDescent="0.5">
      <c r="A35">
        <v>34</v>
      </c>
      <c r="B35">
        <f t="shared" si="5"/>
        <v>5</v>
      </c>
      <c r="C35">
        <f t="shared" si="6"/>
        <v>2</v>
      </c>
      <c r="D35">
        <f t="shared" si="7"/>
        <v>98</v>
      </c>
      <c r="E35">
        <f t="shared" si="8"/>
        <v>20</v>
      </c>
      <c r="F35">
        <f>INDEX(block!A:EF,block_gen!D35-16,block_gen!E35-1)</f>
        <v>4</v>
      </c>
      <c r="G35" t="str">
        <f ca="1">INDEX(block!A:EG,block_gen!D35,block_gen!E35)</f>
        <v>(-1,-2,3,);(1,-2,3,);(-2,0,3,);(0,0,3,);(-1,2,3,);</v>
      </c>
      <c r="H35" t="str">
        <f t="shared" ca="1" si="4"/>
        <v>{type=34, color_id=3, class=4, pos_list={{-1, -2},{1, -2},{-2, 0},{0, 0},{-1, 2},}},</v>
      </c>
    </row>
    <row r="36" spans="1:8" x14ac:dyDescent="0.5">
      <c r="A36">
        <v>35</v>
      </c>
      <c r="B36">
        <f t="shared" si="5"/>
        <v>5</v>
      </c>
      <c r="C36">
        <f t="shared" si="6"/>
        <v>3</v>
      </c>
      <c r="D36">
        <f t="shared" si="7"/>
        <v>98</v>
      </c>
      <c r="E36">
        <f t="shared" si="8"/>
        <v>37</v>
      </c>
      <c r="F36">
        <f>INDEX(block!A:EF,block_gen!D36-16,block_gen!E36-1)</f>
        <v>4</v>
      </c>
      <c r="G36" t="str">
        <f ca="1">INDEX(block!A:EG,block_gen!D36,block_gen!E36)</f>
        <v>(-1,-2,3,);(1,-2,3,);(-2,0,3,);(0,0,3,);(2,0,3,);</v>
      </c>
      <c r="H36" t="str">
        <f t="shared" ca="1" si="4"/>
        <v>{type=35, color_id=3, class=4, pos_list={{-1, -2},{1, -2},{-2, 0},{0, 0},{2, 0},}},</v>
      </c>
    </row>
    <row r="37" spans="1:8" x14ac:dyDescent="0.5">
      <c r="A37">
        <v>36</v>
      </c>
      <c r="B37">
        <f t="shared" si="5"/>
        <v>5</v>
      </c>
      <c r="C37">
        <f t="shared" si="6"/>
        <v>4</v>
      </c>
      <c r="D37">
        <f t="shared" si="7"/>
        <v>98</v>
      </c>
      <c r="E37">
        <f t="shared" si="8"/>
        <v>54</v>
      </c>
      <c r="F37">
        <f>INDEX(block!A:EF,block_gen!D37-16,block_gen!E37-1)</f>
        <v>4</v>
      </c>
      <c r="G37" t="str">
        <f ca="1">INDEX(block!A:EG,block_gen!D37,block_gen!E37)</f>
        <v>(-1,-2,3,);(1,-2,3,);(0,0,3,);(2,0,3,);(1,2,3,);</v>
      </c>
      <c r="H37" t="str">
        <f t="shared" ca="1" si="4"/>
        <v>{type=36, color_id=3, class=4, pos_list={{-1, -2},{1, -2},{0, 0},{2, 0},{1, 2},}},</v>
      </c>
    </row>
    <row r="38" spans="1:8" x14ac:dyDescent="0.5">
      <c r="A38">
        <v>37</v>
      </c>
      <c r="B38">
        <f t="shared" si="5"/>
        <v>5</v>
      </c>
      <c r="C38">
        <f t="shared" si="6"/>
        <v>5</v>
      </c>
      <c r="D38">
        <f t="shared" si="7"/>
        <v>98</v>
      </c>
      <c r="E38">
        <f t="shared" si="8"/>
        <v>71</v>
      </c>
      <c r="F38">
        <f>INDEX(block!A:EF,block_gen!D38-16,block_gen!E38-1)</f>
        <v>5</v>
      </c>
      <c r="G38" t="str">
        <f ca="1">INDEX(block!A:EG,block_gen!D38,block_gen!E38)</f>
        <v>(0,0,5,);(2,0,5,);</v>
      </c>
      <c r="H38" t="str">
        <f t="shared" ca="1" si="4"/>
        <v>{type=37, color_id=5, class=5, pos_list={{0, 0},{2, 0},}},</v>
      </c>
    </row>
    <row r="39" spans="1:8" x14ac:dyDescent="0.5">
      <c r="A39">
        <v>38</v>
      </c>
      <c r="B39">
        <f t="shared" si="5"/>
        <v>5</v>
      </c>
      <c r="C39">
        <f t="shared" si="6"/>
        <v>6</v>
      </c>
      <c r="D39">
        <f t="shared" si="7"/>
        <v>98</v>
      </c>
      <c r="E39">
        <f t="shared" si="8"/>
        <v>88</v>
      </c>
      <c r="F39">
        <f>INDEX(block!A:EF,block_gen!D39-16,block_gen!E39-1)</f>
        <v>5</v>
      </c>
      <c r="G39" t="str">
        <f ca="1">INDEX(block!A:EG,block_gen!D39,block_gen!E39)</f>
        <v>(1,-2,5,);(0,0,5,);</v>
      </c>
      <c r="H39" t="str">
        <f t="shared" ca="1" si="4"/>
        <v>{type=38, color_id=5, class=5, pos_list={{1, -2},{0, 0},}},</v>
      </c>
    </row>
    <row r="40" spans="1:8" x14ac:dyDescent="0.5">
      <c r="A40">
        <v>39</v>
      </c>
      <c r="B40">
        <f t="shared" si="5"/>
        <v>5</v>
      </c>
      <c r="C40">
        <f t="shared" si="6"/>
        <v>7</v>
      </c>
      <c r="D40">
        <f t="shared" si="7"/>
        <v>98</v>
      </c>
      <c r="E40">
        <f t="shared" si="8"/>
        <v>105</v>
      </c>
      <c r="F40">
        <f>INDEX(block!A:EF,block_gen!D40-16,block_gen!E40-1)</f>
        <v>5</v>
      </c>
      <c r="G40" t="str">
        <f ca="1">INDEX(block!A:EG,block_gen!D40,block_gen!E40)</f>
        <v>(-1,-2,5,);(0,0,5,);</v>
      </c>
      <c r="H40" t="str">
        <f t="shared" ca="1" si="4"/>
        <v>{type=39, color_id=5, class=5, pos_list={{-1, -2},{0, 0},}},</v>
      </c>
    </row>
    <row r="41" spans="1:8" x14ac:dyDescent="0.5">
      <c r="A41">
        <v>40</v>
      </c>
      <c r="B41">
        <f t="shared" si="5"/>
        <v>5</v>
      </c>
      <c r="C41">
        <f t="shared" si="6"/>
        <v>8</v>
      </c>
      <c r="D41">
        <f t="shared" si="7"/>
        <v>98</v>
      </c>
      <c r="E41">
        <f t="shared" si="8"/>
        <v>122</v>
      </c>
      <c r="F41">
        <f>INDEX(block!A:EF,block_gen!D41-16,block_gen!E41-1)</f>
        <v>5</v>
      </c>
      <c r="G41" t="str">
        <f ca="1">INDEX(block!A:EG,block_gen!D41,block_gen!E41)</f>
        <v>(-2,0,2,);(0,0,2,);(2,0,2,);</v>
      </c>
      <c r="H41" t="str">
        <f t="shared" ca="1" si="4"/>
        <v>{type=40, color_id=2, class=5, pos_list={{-2, 0},{0, 0},{2, 0},}},</v>
      </c>
    </row>
    <row r="42" spans="1:8" x14ac:dyDescent="0.5">
      <c r="A42">
        <v>41</v>
      </c>
      <c r="B42">
        <f t="shared" si="5"/>
        <v>6</v>
      </c>
      <c r="C42">
        <f t="shared" si="6"/>
        <v>1</v>
      </c>
      <c r="D42">
        <f t="shared" si="7"/>
        <v>118</v>
      </c>
      <c r="E42">
        <f t="shared" si="8"/>
        <v>3</v>
      </c>
      <c r="F42">
        <f>INDEX(block!A:EF,block_gen!D42-16,block_gen!E42-1)</f>
        <v>5</v>
      </c>
      <c r="G42" t="str">
        <f ca="1">INDEX(block!A:EG,block_gen!D42,block_gen!E42)</f>
        <v>(1,-2,5,);(0,0,5,);(-1,2,5,);</v>
      </c>
      <c r="H42" t="str">
        <f t="shared" ca="1" si="4"/>
        <v>{type=41, color_id=5, class=5, pos_list={{1, -2},{0, 0},{-1, 2},}},</v>
      </c>
    </row>
    <row r="43" spans="1:8" x14ac:dyDescent="0.5">
      <c r="A43">
        <v>42</v>
      </c>
      <c r="B43">
        <f t="shared" si="5"/>
        <v>6</v>
      </c>
      <c r="C43">
        <f t="shared" si="6"/>
        <v>2</v>
      </c>
      <c r="D43">
        <f t="shared" si="7"/>
        <v>118</v>
      </c>
      <c r="E43">
        <f t="shared" si="8"/>
        <v>20</v>
      </c>
      <c r="F43">
        <f>INDEX(block!A:EF,block_gen!D43-16,block_gen!E43-1)</f>
        <v>5</v>
      </c>
      <c r="G43" t="str">
        <f ca="1">INDEX(block!A:EG,block_gen!D43,block_gen!E43)</f>
        <v>(-1,-2,5,);(0,0,5,);(1,2,5,);</v>
      </c>
      <c r="H43" t="str">
        <f t="shared" ca="1" si="4"/>
        <v>{type=42, color_id=5, class=5, pos_list={{-1, -2},{0, 0},{1, 2},}},</v>
      </c>
    </row>
    <row r="44" spans="1:8" x14ac:dyDescent="0.5">
      <c r="A44">
        <v>43</v>
      </c>
      <c r="B44">
        <f t="shared" si="5"/>
        <v>6</v>
      </c>
      <c r="C44">
        <f t="shared" si="6"/>
        <v>3</v>
      </c>
      <c r="D44">
        <f t="shared" si="7"/>
        <v>118</v>
      </c>
      <c r="E44">
        <f t="shared" si="8"/>
        <v>37</v>
      </c>
      <c r="F44">
        <f>INDEX(block!A:EF,block_gen!D44-16,block_gen!E44-1)</f>
        <v>5</v>
      </c>
      <c r="G44" t="str">
        <f ca="1">INDEX(block!A:EG,block_gen!D44,block_gen!E44)</f>
        <v>(-1,-2,2,);(-2,0,2,);(0,0,2,);</v>
      </c>
      <c r="H44" t="str">
        <f t="shared" ca="1" si="4"/>
        <v>{type=43, color_id=2, class=5, pos_list={{-1, -2},{-2, 0},{0, 0},}},</v>
      </c>
    </row>
    <row r="45" spans="1:8" x14ac:dyDescent="0.5">
      <c r="A45">
        <v>44</v>
      </c>
      <c r="B45">
        <f t="shared" si="5"/>
        <v>6</v>
      </c>
      <c r="C45">
        <f t="shared" si="6"/>
        <v>4</v>
      </c>
      <c r="D45">
        <f t="shared" si="7"/>
        <v>118</v>
      </c>
      <c r="E45">
        <f t="shared" si="8"/>
        <v>54</v>
      </c>
      <c r="F45">
        <f>INDEX(block!A:EF,block_gen!D45-16,block_gen!E45-1)</f>
        <v>5</v>
      </c>
      <c r="G45" t="str">
        <f ca="1">INDEX(block!A:EG,block_gen!D45,block_gen!E45)</f>
        <v>(-1,-2,2,);(1,-2,2,);(-2,0,2,);</v>
      </c>
      <c r="H45" t="str">
        <f t="shared" ca="1" si="4"/>
        <v>{type=44, color_id=2, class=5, pos_list={{-1, -2},{1, -2},{-2, 0},}},</v>
      </c>
    </row>
    <row r="46" spans="1:8" x14ac:dyDescent="0.5">
      <c r="A46">
        <v>45</v>
      </c>
      <c r="B46">
        <f t="shared" si="5"/>
        <v>6</v>
      </c>
      <c r="C46">
        <f t="shared" si="6"/>
        <v>5</v>
      </c>
      <c r="D46">
        <f t="shared" si="7"/>
        <v>118</v>
      </c>
      <c r="E46">
        <f t="shared" si="8"/>
        <v>71</v>
      </c>
      <c r="F46">
        <f>INDEX(block!A:EF,block_gen!D46-16,block_gen!E46-1)</f>
        <v>5</v>
      </c>
      <c r="G46" t="str">
        <f ca="1">INDEX(block!A:EG,block_gen!D46,block_gen!E46)</f>
        <v>(-1,-2,2,);(1,-2,2,);(2,0,2,);</v>
      </c>
      <c r="H46" t="str">
        <f t="shared" ca="1" si="4"/>
        <v>{type=45, color_id=2, class=5, pos_list={{-1, -2},{1, -2},{2, 0},}},</v>
      </c>
    </row>
    <row r="47" spans="1:8" x14ac:dyDescent="0.5">
      <c r="A47">
        <v>46</v>
      </c>
      <c r="B47">
        <f t="shared" si="5"/>
        <v>6</v>
      </c>
      <c r="C47">
        <f t="shared" si="6"/>
        <v>6</v>
      </c>
      <c r="D47">
        <f t="shared" si="7"/>
        <v>118</v>
      </c>
      <c r="E47">
        <f t="shared" si="8"/>
        <v>88</v>
      </c>
      <c r="F47">
        <f>INDEX(block!A:EF,block_gen!D47-16,block_gen!E47-1)</f>
        <v>5</v>
      </c>
      <c r="G47" t="str">
        <f ca="1">INDEX(block!A:EG,block_gen!D47,block_gen!E47)</f>
        <v>(1,-2,2,);(2,0,2,);(1,2,2,);</v>
      </c>
      <c r="H47" t="str">
        <f t="shared" ca="1" si="4"/>
        <v>{type=46, color_id=2, class=5, pos_list={{1, -2},{2, 0},{1, 2},}},</v>
      </c>
    </row>
    <row r="48" spans="1:8" x14ac:dyDescent="0.5">
      <c r="A48">
        <v>47</v>
      </c>
      <c r="B48">
        <f t="shared" si="5"/>
        <v>6</v>
      </c>
      <c r="C48">
        <f t="shared" si="6"/>
        <v>7</v>
      </c>
      <c r="D48">
        <f t="shared" si="7"/>
        <v>118</v>
      </c>
      <c r="E48">
        <f t="shared" si="8"/>
        <v>105</v>
      </c>
      <c r="F48">
        <f>INDEX(block!A:EF,block_gen!D48-16,block_gen!E48-1)</f>
        <v>5</v>
      </c>
      <c r="G48" t="str">
        <f ca="1">INDEX(block!A:EG,block_gen!D48,block_gen!E48)</f>
        <v>(2,0,2,);(-1,2,2,);(1,2,2,);</v>
      </c>
      <c r="H48" t="str">
        <f t="shared" ca="1" si="4"/>
        <v>{type=47, color_id=2, class=5, pos_list={{2, 0},{-1, 2},{1, 2},}},</v>
      </c>
    </row>
    <row r="49" spans="1:8" x14ac:dyDescent="0.5">
      <c r="A49">
        <v>48</v>
      </c>
      <c r="B49">
        <f t="shared" si="5"/>
        <v>6</v>
      </c>
      <c r="C49">
        <f t="shared" si="6"/>
        <v>8</v>
      </c>
      <c r="D49">
        <f t="shared" si="7"/>
        <v>118</v>
      </c>
      <c r="E49">
        <f t="shared" si="8"/>
        <v>122</v>
      </c>
      <c r="F49">
        <f>INDEX(block!A:EF,block_gen!D49-16,block_gen!E49-1)</f>
        <v>5</v>
      </c>
      <c r="G49" t="str">
        <f ca="1">INDEX(block!A:EG,block_gen!D49,block_gen!E49)</f>
        <v>(-2,0,2,);(-1,2,2,);(1,2,2,);</v>
      </c>
      <c r="H49" t="str">
        <f t="shared" ca="1" si="4"/>
        <v>{type=48, color_id=2, class=5, pos_list={{-2, 0},{-1, 2},{1, 2},}},</v>
      </c>
    </row>
    <row r="50" spans="1:8" x14ac:dyDescent="0.5">
      <c r="A50">
        <v>49</v>
      </c>
      <c r="B50">
        <f t="shared" si="5"/>
        <v>7</v>
      </c>
      <c r="C50">
        <f t="shared" si="6"/>
        <v>1</v>
      </c>
      <c r="D50">
        <f t="shared" si="7"/>
        <v>138</v>
      </c>
      <c r="E50">
        <f t="shared" si="8"/>
        <v>3</v>
      </c>
      <c r="F50">
        <f>INDEX(block!A:EF,block_gen!D50-16,block_gen!E50-1)</f>
        <v>5</v>
      </c>
      <c r="G50" t="str">
        <f ca="1">INDEX(block!A:EG,block_gen!D50,block_gen!E50)</f>
        <v>(-1,-2,2,);(-2,0,2,);(-1,2,2,);</v>
      </c>
      <c r="H50" t="str">
        <f t="shared" ca="1" si="4"/>
        <v>{type=49, color_id=2, class=5, pos_list={{-1, -2},{-2, 0},{-1, 2},}},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50"/>
  <sheetViews>
    <sheetView topLeftCell="A28" workbookViewId="0">
      <selection activeCell="H2" sqref="H2:H50"/>
    </sheetView>
  </sheetViews>
  <sheetFormatPr defaultRowHeight="15" x14ac:dyDescent="0.5"/>
  <cols>
    <col min="1" max="1" width="4.87890625" bestFit="1" customWidth="1"/>
    <col min="2" max="3" width="4.76171875" bestFit="1" customWidth="1"/>
    <col min="4" max="4" width="4.64453125" bestFit="1" customWidth="1"/>
    <col min="5" max="5" width="4.52734375" bestFit="1" customWidth="1"/>
    <col min="6" max="6" width="5.3515625" bestFit="1" customWidth="1"/>
    <col min="7" max="7" width="43.87890625" bestFit="1" customWidth="1"/>
    <col min="8" max="8" width="58" bestFit="1" customWidth="1"/>
  </cols>
  <sheetData>
    <row r="1" spans="1:8" x14ac:dyDescent="0.5">
      <c r="A1" t="s">
        <v>72</v>
      </c>
      <c r="B1" t="s">
        <v>73</v>
      </c>
      <c r="C1" t="s">
        <v>74</v>
      </c>
      <c r="D1" t="s">
        <v>63</v>
      </c>
      <c r="E1" t="s">
        <v>76</v>
      </c>
      <c r="F1" t="s">
        <v>109</v>
      </c>
      <c r="G1" t="s">
        <v>77</v>
      </c>
      <c r="H1" t="s">
        <v>78</v>
      </c>
    </row>
    <row r="2" spans="1:8" x14ac:dyDescent="0.5">
      <c r="A2">
        <v>1</v>
      </c>
      <c r="B2">
        <f t="shared" ref="B2:B33" si="0">_xlfn.FLOOR.MATH((A2-1)/8) + 1</f>
        <v>1</v>
      </c>
      <c r="C2">
        <f t="shared" ref="C2:C33" si="1">A2-(B2-1)*8</f>
        <v>1</v>
      </c>
      <c r="D2">
        <f t="shared" ref="D2:D33" si="2">(B2-1)*20 + 18</f>
        <v>18</v>
      </c>
      <c r="E2">
        <f t="shared" ref="E2:E33" si="3">(C2-1)*17+3</f>
        <v>3</v>
      </c>
      <c r="F2">
        <f>INDEX(block!A:EF,block_gen!D2-16,block_gen!E2-1)</f>
        <v>1</v>
      </c>
      <c r="G2" t="str">
        <f ca="1">INDEX(block!A:EG,block_gen!D2,block_gen!E2)</f>
        <v>(0,0,6,);</v>
      </c>
      <c r="H2" t="str">
        <f t="shared" ref="H2:H33" ca="1" si="4">HexStrToLua(A2, F2,G2)</f>
        <v>{type=1, color_id=6, class=1, pos_list={{0, 0},}},</v>
      </c>
    </row>
    <row r="3" spans="1:8" x14ac:dyDescent="0.5">
      <c r="A3">
        <v>2</v>
      </c>
      <c r="B3">
        <f t="shared" si="0"/>
        <v>1</v>
      </c>
      <c r="C3">
        <f t="shared" si="1"/>
        <v>2</v>
      </c>
      <c r="D3">
        <f t="shared" si="2"/>
        <v>18</v>
      </c>
      <c r="E3">
        <f t="shared" si="3"/>
        <v>20</v>
      </c>
      <c r="F3">
        <f>INDEX(block!A:EF,block_gen!D3-16,block_gen!E3-1)</f>
        <v>1</v>
      </c>
      <c r="G3" t="str">
        <f ca="1">INDEX(block!A:EG,block_gen!D3,block_gen!E3)</f>
        <v>(-2,0,1,);(0,0,1,);(2,0,1,);(4,0,1,);</v>
      </c>
      <c r="H3" t="str">
        <f t="shared" ca="1" si="4"/>
        <v>{type=2, color_id=1, class=1, pos_list={{-2, 0},{0, 0},{2, 0},{4, 0},}},</v>
      </c>
    </row>
    <row r="4" spans="1:8" x14ac:dyDescent="0.5">
      <c r="A4">
        <v>3</v>
      </c>
      <c r="B4">
        <f t="shared" si="0"/>
        <v>1</v>
      </c>
      <c r="C4">
        <f t="shared" si="1"/>
        <v>3</v>
      </c>
      <c r="D4">
        <f t="shared" si="2"/>
        <v>18</v>
      </c>
      <c r="E4">
        <f t="shared" si="3"/>
        <v>37</v>
      </c>
      <c r="F4">
        <f>INDEX(block!A:EF,block_gen!D4-16,block_gen!E4-1)</f>
        <v>1</v>
      </c>
      <c r="G4" t="str">
        <f ca="1">INDEX(block!A:EG,block_gen!D4,block_gen!E4)</f>
        <v>(2,-4,1,);(1,-2,1,);(0,0,1,);(-1,2,1,);</v>
      </c>
      <c r="H4" t="str">
        <f t="shared" ca="1" si="4"/>
        <v>{type=3, color_id=1, class=1, pos_list={{2, -4},{1, -2},{0, 0},{-1, 2},}},</v>
      </c>
    </row>
    <row r="5" spans="1:8" x14ac:dyDescent="0.5">
      <c r="A5">
        <v>4</v>
      </c>
      <c r="B5">
        <f t="shared" si="0"/>
        <v>1</v>
      </c>
      <c r="C5">
        <f t="shared" si="1"/>
        <v>4</v>
      </c>
      <c r="D5">
        <f t="shared" si="2"/>
        <v>18</v>
      </c>
      <c r="E5">
        <f t="shared" si="3"/>
        <v>54</v>
      </c>
      <c r="F5">
        <f>INDEX(block!A:EF,block_gen!D5-16,block_gen!E5-1)</f>
        <v>1</v>
      </c>
      <c r="G5" t="str">
        <f ca="1">INDEX(block!A:EG,block_gen!D5,block_gen!E5)</f>
        <v>(-1,-2,1,);(0,0,1,);(1,2,1,);(2,4,1,);</v>
      </c>
      <c r="H5" t="str">
        <f t="shared" ca="1" si="4"/>
        <v>{type=4, color_id=1, class=1, pos_list={{-1, -2},{0, 0},{1, 2},{2, 4},}},</v>
      </c>
    </row>
    <row r="6" spans="1:8" x14ac:dyDescent="0.5">
      <c r="A6">
        <v>37</v>
      </c>
      <c r="B6">
        <f t="shared" si="0"/>
        <v>5</v>
      </c>
      <c r="C6">
        <f t="shared" si="1"/>
        <v>5</v>
      </c>
      <c r="D6">
        <f t="shared" si="2"/>
        <v>98</v>
      </c>
      <c r="E6">
        <f t="shared" si="3"/>
        <v>71</v>
      </c>
      <c r="F6">
        <f>INDEX(block!A:EF,block_gen!D38-16,block_gen!E38-1)</f>
        <v>5</v>
      </c>
      <c r="G6" t="str">
        <f ca="1">INDEX(block!A:EG,block_gen!D38,block_gen!E38)</f>
        <v>(0,0,5,);(2,0,5,);</v>
      </c>
      <c r="H6" t="str">
        <f t="shared" ca="1" si="4"/>
        <v>{type=37, color_id=5, class=5, pos_list={{0, 0},{2, 0},}},</v>
      </c>
    </row>
    <row r="7" spans="1:8" x14ac:dyDescent="0.5">
      <c r="A7">
        <v>38</v>
      </c>
      <c r="B7">
        <f t="shared" si="0"/>
        <v>5</v>
      </c>
      <c r="C7">
        <f t="shared" si="1"/>
        <v>6</v>
      </c>
      <c r="D7">
        <f t="shared" si="2"/>
        <v>98</v>
      </c>
      <c r="E7">
        <f t="shared" si="3"/>
        <v>88</v>
      </c>
      <c r="F7">
        <f>INDEX(block!A:EF,block_gen!D39-16,block_gen!E39-1)</f>
        <v>5</v>
      </c>
      <c r="G7" t="str">
        <f ca="1">INDEX(block!A:EG,block_gen!D39,block_gen!E39)</f>
        <v>(1,-2,5,);(0,0,5,);</v>
      </c>
      <c r="H7" t="str">
        <f t="shared" ca="1" si="4"/>
        <v>{type=38, color_id=5, class=5, pos_list={{1, -2},{0, 0},}},</v>
      </c>
    </row>
    <row r="8" spans="1:8" x14ac:dyDescent="0.5">
      <c r="A8">
        <v>39</v>
      </c>
      <c r="B8">
        <f t="shared" si="0"/>
        <v>5</v>
      </c>
      <c r="C8">
        <f t="shared" si="1"/>
        <v>7</v>
      </c>
      <c r="D8">
        <f t="shared" si="2"/>
        <v>98</v>
      </c>
      <c r="E8">
        <f t="shared" si="3"/>
        <v>105</v>
      </c>
      <c r="F8">
        <f>INDEX(block!A:EF,block_gen!D40-16,block_gen!E40-1)</f>
        <v>5</v>
      </c>
      <c r="G8" t="str">
        <f ca="1">INDEX(block!A:EG,block_gen!D40,block_gen!E40)</f>
        <v>(-1,-2,5,);(0,0,5,);</v>
      </c>
      <c r="H8" t="str">
        <f t="shared" ca="1" si="4"/>
        <v>{type=39, color_id=5, class=5, pos_list={{-1, -2},{0, 0},}},</v>
      </c>
    </row>
    <row r="9" spans="1:8" x14ac:dyDescent="0.5">
      <c r="A9">
        <v>40</v>
      </c>
      <c r="B9">
        <f t="shared" si="0"/>
        <v>5</v>
      </c>
      <c r="C9">
        <f t="shared" si="1"/>
        <v>8</v>
      </c>
      <c r="D9">
        <f t="shared" si="2"/>
        <v>98</v>
      </c>
      <c r="E9">
        <f t="shared" si="3"/>
        <v>122</v>
      </c>
      <c r="F9">
        <f>INDEX(block!A:EF,block_gen!D41-16,block_gen!E41-1)</f>
        <v>5</v>
      </c>
      <c r="G9" t="str">
        <f ca="1">INDEX(block!A:EG,block_gen!D41,block_gen!E41)</f>
        <v>(-2,0,2,);(0,0,2,);(2,0,2,);</v>
      </c>
      <c r="H9" t="str">
        <f t="shared" ca="1" si="4"/>
        <v>{type=40, color_id=2, class=5, pos_list={{-2, 0},{0, 0},{2, 0},}},</v>
      </c>
    </row>
    <row r="10" spans="1:8" x14ac:dyDescent="0.5">
      <c r="A10">
        <v>41</v>
      </c>
      <c r="B10">
        <f t="shared" si="0"/>
        <v>6</v>
      </c>
      <c r="C10">
        <f t="shared" si="1"/>
        <v>1</v>
      </c>
      <c r="D10">
        <f t="shared" si="2"/>
        <v>118</v>
      </c>
      <c r="E10">
        <f t="shared" si="3"/>
        <v>3</v>
      </c>
      <c r="F10">
        <f>INDEX(block!A:EF,block_gen!D42-16,block_gen!E42-1)</f>
        <v>5</v>
      </c>
      <c r="G10" t="str">
        <f ca="1">INDEX(block!A:EG,block_gen!D42,block_gen!E42)</f>
        <v>(1,-2,5,);(0,0,5,);(-1,2,5,);</v>
      </c>
      <c r="H10" t="str">
        <f t="shared" ca="1" si="4"/>
        <v>{type=41, color_id=5, class=5, pos_list={{1, -2},{0, 0},{-1, 2},}},</v>
      </c>
    </row>
    <row r="11" spans="1:8" x14ac:dyDescent="0.5">
      <c r="A11">
        <v>42</v>
      </c>
      <c r="B11">
        <f t="shared" si="0"/>
        <v>6</v>
      </c>
      <c r="C11">
        <f t="shared" si="1"/>
        <v>2</v>
      </c>
      <c r="D11">
        <f t="shared" si="2"/>
        <v>118</v>
      </c>
      <c r="E11">
        <f t="shared" si="3"/>
        <v>20</v>
      </c>
      <c r="F11">
        <f>INDEX(block!A:EF,block_gen!D43-16,block_gen!E43-1)</f>
        <v>5</v>
      </c>
      <c r="G11" t="str">
        <f ca="1">INDEX(block!A:EG,block_gen!D43,block_gen!E43)</f>
        <v>(-1,-2,5,);(0,0,5,);(1,2,5,);</v>
      </c>
      <c r="H11" t="str">
        <f t="shared" ca="1" si="4"/>
        <v>{type=42, color_id=5, class=5, pos_list={{-1, -2},{0, 0},{1, 2},}},</v>
      </c>
    </row>
    <row r="12" spans="1:8" x14ac:dyDescent="0.5">
      <c r="A12">
        <v>43</v>
      </c>
      <c r="B12">
        <f t="shared" si="0"/>
        <v>6</v>
      </c>
      <c r="C12">
        <f t="shared" si="1"/>
        <v>3</v>
      </c>
      <c r="D12">
        <f t="shared" si="2"/>
        <v>118</v>
      </c>
      <c r="E12">
        <f t="shared" si="3"/>
        <v>37</v>
      </c>
      <c r="F12">
        <f>INDEX(block!A:EF,block_gen!D44-16,block_gen!E44-1)</f>
        <v>5</v>
      </c>
      <c r="G12" t="str">
        <f ca="1">INDEX(block!A:EG,block_gen!D44,block_gen!E44)</f>
        <v>(-1,-2,2,);(-2,0,2,);(0,0,2,);</v>
      </c>
      <c r="H12" t="str">
        <f t="shared" ca="1" si="4"/>
        <v>{type=43, color_id=2, class=5, pos_list={{-1, -2},{-2, 0},{0, 0},}},</v>
      </c>
    </row>
    <row r="13" spans="1:8" x14ac:dyDescent="0.5">
      <c r="A13">
        <v>44</v>
      </c>
      <c r="B13">
        <f t="shared" si="0"/>
        <v>6</v>
      </c>
      <c r="C13">
        <f t="shared" si="1"/>
        <v>4</v>
      </c>
      <c r="D13">
        <f t="shared" si="2"/>
        <v>118</v>
      </c>
      <c r="E13">
        <f t="shared" si="3"/>
        <v>54</v>
      </c>
      <c r="F13">
        <f>INDEX(block!A:EF,block_gen!D45-16,block_gen!E45-1)</f>
        <v>5</v>
      </c>
      <c r="G13" t="str">
        <f ca="1">INDEX(block!A:EG,block_gen!D45,block_gen!E45)</f>
        <v>(-1,-2,2,);(1,-2,2,);(-2,0,2,);</v>
      </c>
      <c r="H13" t="str">
        <f t="shared" ca="1" si="4"/>
        <v>{type=44, color_id=2, class=5, pos_list={{-1, -2},{1, -2},{-2, 0},}},</v>
      </c>
    </row>
    <row r="14" spans="1:8" x14ac:dyDescent="0.5">
      <c r="A14">
        <v>45</v>
      </c>
      <c r="B14">
        <f t="shared" si="0"/>
        <v>6</v>
      </c>
      <c r="C14">
        <f t="shared" si="1"/>
        <v>5</v>
      </c>
      <c r="D14">
        <f t="shared" si="2"/>
        <v>118</v>
      </c>
      <c r="E14">
        <f t="shared" si="3"/>
        <v>71</v>
      </c>
      <c r="F14">
        <f>INDEX(block!A:EF,block_gen!D46-16,block_gen!E46-1)</f>
        <v>5</v>
      </c>
      <c r="G14" t="str">
        <f ca="1">INDEX(block!A:EG,block_gen!D46,block_gen!E46)</f>
        <v>(-1,-2,2,);(1,-2,2,);(2,0,2,);</v>
      </c>
      <c r="H14" t="str">
        <f t="shared" ca="1" si="4"/>
        <v>{type=45, color_id=2, class=5, pos_list={{-1, -2},{1, -2},{2, 0},}},</v>
      </c>
    </row>
    <row r="15" spans="1:8" x14ac:dyDescent="0.5">
      <c r="A15">
        <v>46</v>
      </c>
      <c r="B15">
        <f t="shared" si="0"/>
        <v>6</v>
      </c>
      <c r="C15">
        <f t="shared" si="1"/>
        <v>6</v>
      </c>
      <c r="D15">
        <f t="shared" si="2"/>
        <v>118</v>
      </c>
      <c r="E15">
        <f t="shared" si="3"/>
        <v>88</v>
      </c>
      <c r="F15">
        <f>INDEX(block!A:EF,block_gen!D47-16,block_gen!E47-1)</f>
        <v>5</v>
      </c>
      <c r="G15" t="str">
        <f ca="1">INDEX(block!A:EG,block_gen!D47,block_gen!E47)</f>
        <v>(1,-2,2,);(2,0,2,);(1,2,2,);</v>
      </c>
      <c r="H15" t="str">
        <f t="shared" ca="1" si="4"/>
        <v>{type=46, color_id=2, class=5, pos_list={{1, -2},{2, 0},{1, 2},}},</v>
      </c>
    </row>
    <row r="16" spans="1:8" x14ac:dyDescent="0.5">
      <c r="A16">
        <v>47</v>
      </c>
      <c r="B16">
        <f t="shared" si="0"/>
        <v>6</v>
      </c>
      <c r="C16">
        <f t="shared" si="1"/>
        <v>7</v>
      </c>
      <c r="D16">
        <f t="shared" si="2"/>
        <v>118</v>
      </c>
      <c r="E16">
        <f t="shared" si="3"/>
        <v>105</v>
      </c>
      <c r="F16">
        <f>INDEX(block!A:EF,block_gen!D48-16,block_gen!E48-1)</f>
        <v>5</v>
      </c>
      <c r="G16" t="str">
        <f ca="1">INDEX(block!A:EG,block_gen!D48,block_gen!E48)</f>
        <v>(2,0,2,);(-1,2,2,);(1,2,2,);</v>
      </c>
      <c r="H16" t="str">
        <f t="shared" ca="1" si="4"/>
        <v>{type=47, color_id=2, class=5, pos_list={{2, 0},{-1, 2},{1, 2},}},</v>
      </c>
    </row>
    <row r="17" spans="1:8" x14ac:dyDescent="0.5">
      <c r="A17">
        <v>48</v>
      </c>
      <c r="B17">
        <f t="shared" si="0"/>
        <v>6</v>
      </c>
      <c r="C17">
        <f t="shared" si="1"/>
        <v>8</v>
      </c>
      <c r="D17">
        <f t="shared" si="2"/>
        <v>118</v>
      </c>
      <c r="E17">
        <f t="shared" si="3"/>
        <v>122</v>
      </c>
      <c r="F17">
        <f>INDEX(block!A:EF,block_gen!D49-16,block_gen!E49-1)</f>
        <v>5</v>
      </c>
      <c r="G17" t="str">
        <f ca="1">INDEX(block!A:EG,block_gen!D49,block_gen!E49)</f>
        <v>(-2,0,2,);(-1,2,2,);(1,2,2,);</v>
      </c>
      <c r="H17" t="str">
        <f t="shared" ca="1" si="4"/>
        <v>{type=48, color_id=2, class=5, pos_list={{-2, 0},{-1, 2},{1, 2},}},</v>
      </c>
    </row>
    <row r="18" spans="1:8" x14ac:dyDescent="0.5">
      <c r="A18">
        <v>49</v>
      </c>
      <c r="B18">
        <f t="shared" si="0"/>
        <v>7</v>
      </c>
      <c r="C18">
        <f t="shared" si="1"/>
        <v>1</v>
      </c>
      <c r="D18">
        <f t="shared" si="2"/>
        <v>138</v>
      </c>
      <c r="E18">
        <f t="shared" si="3"/>
        <v>3</v>
      </c>
      <c r="F18">
        <f>INDEX(block!A:EF,block_gen!D50-16,block_gen!E50-1)</f>
        <v>5</v>
      </c>
      <c r="G18" t="str">
        <f ca="1">INDEX(block!A:EG,block_gen!D50,block_gen!E50)</f>
        <v>(-1,-2,2,);(-2,0,2,);(-1,2,2,);</v>
      </c>
      <c r="H18" t="str">
        <f t="shared" ca="1" si="4"/>
        <v>{type=49, color_id=2, class=5, pos_list={{-1, -2},{-2, 0},{-1, 2},}},</v>
      </c>
    </row>
    <row r="19" spans="1:8" x14ac:dyDescent="0.5">
      <c r="A19">
        <v>5</v>
      </c>
      <c r="B19">
        <f t="shared" si="0"/>
        <v>1</v>
      </c>
      <c r="C19">
        <f t="shared" si="1"/>
        <v>5</v>
      </c>
      <c r="D19">
        <f t="shared" si="2"/>
        <v>18</v>
      </c>
      <c r="E19">
        <f t="shared" si="3"/>
        <v>71</v>
      </c>
      <c r="F19">
        <f>INDEX(block!A:EF,block_gen!D6-16,block_gen!E6-1)</f>
        <v>2</v>
      </c>
      <c r="G19" t="str">
        <f ca="1">INDEX(block!A:EG,block_gen!D6,block_gen!E6)</f>
        <v>(1,-2,5,);(-2,0,5,);(0,0,5,);(2,0,5,);</v>
      </c>
      <c r="H19" t="str">
        <f t="shared" ca="1" si="4"/>
        <v>{type=5, color_id=5, class=2, pos_list={{1, -2},{-2, 0},{0, 0},{2, 0},}},</v>
      </c>
    </row>
    <row r="20" spans="1:8" x14ac:dyDescent="0.5">
      <c r="A20">
        <v>6</v>
      </c>
      <c r="B20">
        <f t="shared" si="0"/>
        <v>1</v>
      </c>
      <c r="C20">
        <f t="shared" si="1"/>
        <v>6</v>
      </c>
      <c r="D20">
        <f t="shared" si="2"/>
        <v>18</v>
      </c>
      <c r="E20">
        <f t="shared" si="3"/>
        <v>88</v>
      </c>
      <c r="F20">
        <f>INDEX(block!A:EF,block_gen!D7-16,block_gen!E7-1)</f>
        <v>2</v>
      </c>
      <c r="G20" t="str">
        <f ca="1">INDEX(block!A:EG,block_gen!D7,block_gen!E7)</f>
        <v>(-1,-2,5,);(-2,0,5,);(0,0,5,);(2,0,5,);</v>
      </c>
      <c r="H20" t="str">
        <f t="shared" ca="1" si="4"/>
        <v>{type=6, color_id=5, class=2, pos_list={{-1, -2},{-2, 0},{0, 0},{2, 0},}},</v>
      </c>
    </row>
    <row r="21" spans="1:8" x14ac:dyDescent="0.5">
      <c r="A21">
        <v>7</v>
      </c>
      <c r="B21">
        <f t="shared" si="0"/>
        <v>1</v>
      </c>
      <c r="C21">
        <f t="shared" si="1"/>
        <v>7</v>
      </c>
      <c r="D21">
        <f t="shared" si="2"/>
        <v>18</v>
      </c>
      <c r="E21">
        <f t="shared" si="3"/>
        <v>105</v>
      </c>
      <c r="F21">
        <f>INDEX(block!A:EF,block_gen!D8-16,block_gen!E8-1)</f>
        <v>2</v>
      </c>
      <c r="G21" t="str">
        <f ca="1">INDEX(block!A:EG,block_gen!D8,block_gen!E8)</f>
        <v>(-2,0,5,);(0,0,5,);(2,0,5,);(-1,2,5,);</v>
      </c>
      <c r="H21" t="str">
        <f t="shared" ca="1" si="4"/>
        <v>{type=7, color_id=5, class=2, pos_list={{-2, 0},{0, 0},{2, 0},{-1, 2},}},</v>
      </c>
    </row>
    <row r="22" spans="1:8" x14ac:dyDescent="0.5">
      <c r="A22">
        <v>8</v>
      </c>
      <c r="B22">
        <f t="shared" si="0"/>
        <v>1</v>
      </c>
      <c r="C22">
        <f t="shared" si="1"/>
        <v>8</v>
      </c>
      <c r="D22">
        <f t="shared" si="2"/>
        <v>18</v>
      </c>
      <c r="E22">
        <f t="shared" si="3"/>
        <v>122</v>
      </c>
      <c r="F22">
        <f>INDEX(block!A:EF,block_gen!D9-16,block_gen!E9-1)</f>
        <v>2</v>
      </c>
      <c r="G22" t="str">
        <f ca="1">INDEX(block!A:EG,block_gen!D9,block_gen!E9)</f>
        <v>(-2,0,5,);(0,0,5,);(2,0,5,);(1,2,5,);</v>
      </c>
      <c r="H22" t="str">
        <f t="shared" ca="1" si="4"/>
        <v>{type=8, color_id=5, class=2, pos_list={{-2, 0},{0, 0},{2, 0},{1, 2},}},</v>
      </c>
    </row>
    <row r="23" spans="1:8" x14ac:dyDescent="0.5">
      <c r="A23">
        <v>9</v>
      </c>
      <c r="B23">
        <f t="shared" si="0"/>
        <v>2</v>
      </c>
      <c r="C23">
        <f t="shared" si="1"/>
        <v>1</v>
      </c>
      <c r="D23">
        <f t="shared" si="2"/>
        <v>38</v>
      </c>
      <c r="E23">
        <f t="shared" si="3"/>
        <v>3</v>
      </c>
      <c r="F23">
        <f>INDEX(block!A:EF,block_gen!D10-16,block_gen!E10-1)</f>
        <v>2</v>
      </c>
      <c r="G23" t="str">
        <f ca="1">INDEX(block!A:EG,block_gen!D10,block_gen!E10)</f>
        <v>(-1,-2,2,);(1,-2,2,);(-2,0,2,);(0,0,2,);</v>
      </c>
      <c r="H23" t="str">
        <f t="shared" ca="1" si="4"/>
        <v>{type=9, color_id=2, class=2, pos_list={{-1, -2},{1, -2},{-2, 0},{0, 0},}},</v>
      </c>
    </row>
    <row r="24" spans="1:8" x14ac:dyDescent="0.5">
      <c r="A24">
        <v>10</v>
      </c>
      <c r="B24">
        <f t="shared" si="0"/>
        <v>2</v>
      </c>
      <c r="C24">
        <f t="shared" si="1"/>
        <v>2</v>
      </c>
      <c r="D24">
        <f t="shared" si="2"/>
        <v>38</v>
      </c>
      <c r="E24">
        <f t="shared" si="3"/>
        <v>20</v>
      </c>
      <c r="F24">
        <f>INDEX(block!A:EF,block_gen!D11-16,block_gen!E11-1)</f>
        <v>2</v>
      </c>
      <c r="G24" t="str">
        <f ca="1">INDEX(block!A:EG,block_gen!D11,block_gen!E11)</f>
        <v>(-1,-2,2,);(1,-2,2,);(0,0,2,);(2,0,2,);</v>
      </c>
      <c r="H24" t="str">
        <f t="shared" ca="1" si="4"/>
        <v>{type=10, color_id=2, class=2, pos_list={{-1, -2},{1, -2},{0, 0},{2, 0},}},</v>
      </c>
    </row>
    <row r="25" spans="1:8" x14ac:dyDescent="0.5">
      <c r="A25">
        <v>11</v>
      </c>
      <c r="B25">
        <f t="shared" si="0"/>
        <v>2</v>
      </c>
      <c r="C25">
        <f t="shared" si="1"/>
        <v>3</v>
      </c>
      <c r="D25">
        <f t="shared" si="2"/>
        <v>38</v>
      </c>
      <c r="E25">
        <f t="shared" si="3"/>
        <v>37</v>
      </c>
      <c r="F25">
        <f>INDEX(block!A:EF,block_gen!D12-16,block_gen!E12-1)</f>
        <v>2</v>
      </c>
      <c r="G25" t="str">
        <f ca="1">INDEX(block!A:EG,block_gen!D12,block_gen!E12)</f>
        <v>(-1,-2,2,);(-2,0,2,);(0,0,2,);(-1,2,2,);</v>
      </c>
      <c r="H25" t="str">
        <f t="shared" ca="1" si="4"/>
        <v>{type=11, color_id=2, class=2, pos_list={{-1, -2},{-2, 0},{0, 0},{-1, 2},}},</v>
      </c>
    </row>
    <row r="26" spans="1:8" x14ac:dyDescent="0.5">
      <c r="A26">
        <v>12</v>
      </c>
      <c r="B26">
        <f t="shared" si="0"/>
        <v>2</v>
      </c>
      <c r="C26">
        <f t="shared" si="1"/>
        <v>4</v>
      </c>
      <c r="D26">
        <f t="shared" si="2"/>
        <v>38</v>
      </c>
      <c r="E26">
        <f t="shared" si="3"/>
        <v>54</v>
      </c>
      <c r="F26">
        <f>INDEX(block!A:EF,block_gen!D13-16,block_gen!E13-1)</f>
        <v>2</v>
      </c>
      <c r="G26" t="str">
        <f ca="1">INDEX(block!A:EG,block_gen!D13,block_gen!E13)</f>
        <v>(1,-2,4,);(-2,0,4,);(0,0,4,);(-1,2,4,);</v>
      </c>
      <c r="H26" t="str">
        <f t="shared" ca="1" si="4"/>
        <v>{type=12, color_id=4, class=2, pos_list={{1, -2},{-2, 0},{0, 0},{-1, 2},}},</v>
      </c>
    </row>
    <row r="27" spans="1:8" x14ac:dyDescent="0.5">
      <c r="A27">
        <v>13</v>
      </c>
      <c r="B27">
        <f t="shared" si="0"/>
        <v>2</v>
      </c>
      <c r="C27">
        <f t="shared" si="1"/>
        <v>5</v>
      </c>
      <c r="D27">
        <f t="shared" si="2"/>
        <v>38</v>
      </c>
      <c r="E27">
        <f t="shared" si="3"/>
        <v>71</v>
      </c>
      <c r="F27">
        <f>INDEX(block!A:EF,block_gen!D14-16,block_gen!E14-1)</f>
        <v>2</v>
      </c>
      <c r="G27" t="str">
        <f ca="1">INDEX(block!A:EG,block_gen!D14,block_gen!E14)</f>
        <v>(1,-2,4,);(0,0,4,);(-1,2,4,);(1,2,4,);</v>
      </c>
      <c r="H27" t="str">
        <f t="shared" ca="1" si="4"/>
        <v>{type=13, color_id=4, class=2, pos_list={{1, -2},{0, 0},{-1, 2},{1, 2},}},</v>
      </c>
    </row>
    <row r="28" spans="1:8" x14ac:dyDescent="0.5">
      <c r="A28">
        <v>14</v>
      </c>
      <c r="B28">
        <f t="shared" si="0"/>
        <v>2</v>
      </c>
      <c r="C28">
        <f t="shared" si="1"/>
        <v>6</v>
      </c>
      <c r="D28">
        <f t="shared" si="2"/>
        <v>38</v>
      </c>
      <c r="E28">
        <f t="shared" si="3"/>
        <v>88</v>
      </c>
      <c r="F28">
        <f>INDEX(block!A:EF,block_gen!D15-16,block_gen!E15-1)</f>
        <v>2</v>
      </c>
      <c r="G28" t="str">
        <f ca="1">INDEX(block!A:EG,block_gen!D15,block_gen!E15)</f>
        <v>(1,-2,4,);(0,0,4,);(2,0,4,);(-1,2,4,);</v>
      </c>
      <c r="H28" t="str">
        <f t="shared" ca="1" si="4"/>
        <v>{type=14, color_id=4, class=2, pos_list={{1, -2},{0, 0},{2, 0},{-1, 2},}},</v>
      </c>
    </row>
    <row r="29" spans="1:8" x14ac:dyDescent="0.5">
      <c r="A29">
        <v>15</v>
      </c>
      <c r="B29">
        <f t="shared" si="0"/>
        <v>2</v>
      </c>
      <c r="C29">
        <f t="shared" si="1"/>
        <v>7</v>
      </c>
      <c r="D29">
        <f t="shared" si="2"/>
        <v>38</v>
      </c>
      <c r="E29">
        <f t="shared" si="3"/>
        <v>105</v>
      </c>
      <c r="F29">
        <f>INDEX(block!A:EF,block_gen!D16-16,block_gen!E16-1)</f>
        <v>2</v>
      </c>
      <c r="G29" t="str">
        <f ca="1">INDEX(block!A:EG,block_gen!D16,block_gen!E16)</f>
        <v>(-1,-2,4,);(1,-2,4,);(0,0,4,);(-1,2,4,);</v>
      </c>
      <c r="H29" t="str">
        <f t="shared" ca="1" si="4"/>
        <v>{type=15, color_id=4, class=2, pos_list={{-1, -2},{1, -2},{0, 0},{-1, 2},}},</v>
      </c>
    </row>
    <row r="30" spans="1:8" x14ac:dyDescent="0.5">
      <c r="A30">
        <v>16</v>
      </c>
      <c r="B30">
        <f t="shared" si="0"/>
        <v>2</v>
      </c>
      <c r="C30">
        <f t="shared" si="1"/>
        <v>8</v>
      </c>
      <c r="D30">
        <f t="shared" si="2"/>
        <v>38</v>
      </c>
      <c r="E30">
        <f t="shared" si="3"/>
        <v>122</v>
      </c>
      <c r="F30">
        <f>INDEX(block!A:EF,block_gen!D17-16,block_gen!E17-1)</f>
        <v>2</v>
      </c>
      <c r="G30" t="str">
        <f ca="1">INDEX(block!A:EG,block_gen!D17,block_gen!E17)</f>
        <v>(-1,-2,4,);(0,0,4,);(-1,2,4,);(1,2,4,);</v>
      </c>
      <c r="H30" t="str">
        <f t="shared" ca="1" si="4"/>
        <v>{type=16, color_id=4, class=2, pos_list={{-1, -2},{0, 0},{-1, 2},{1, 2},}},</v>
      </c>
    </row>
    <row r="31" spans="1:8" x14ac:dyDescent="0.5">
      <c r="A31">
        <v>17</v>
      </c>
      <c r="B31">
        <f t="shared" si="0"/>
        <v>3</v>
      </c>
      <c r="C31">
        <f t="shared" si="1"/>
        <v>1</v>
      </c>
      <c r="D31">
        <f t="shared" si="2"/>
        <v>58</v>
      </c>
      <c r="E31">
        <f t="shared" si="3"/>
        <v>3</v>
      </c>
      <c r="F31">
        <f>INDEX(block!A:EF,block_gen!D18-16,block_gen!E18-1)</f>
        <v>2</v>
      </c>
      <c r="G31" t="str">
        <f ca="1">INDEX(block!A:EG,block_gen!D18,block_gen!E18)</f>
        <v>(-1,-2,4,);(0,0,4,);(2,0,4,);(1,2,4,);</v>
      </c>
      <c r="H31" t="str">
        <f t="shared" ca="1" si="4"/>
        <v>{type=17, color_id=4, class=2, pos_list={{-1, -2},{0, 0},{2, 0},{1, 2},}},</v>
      </c>
    </row>
    <row r="32" spans="1:8" x14ac:dyDescent="0.5">
      <c r="A32">
        <v>18</v>
      </c>
      <c r="B32">
        <f t="shared" si="0"/>
        <v>3</v>
      </c>
      <c r="C32">
        <f t="shared" si="1"/>
        <v>2</v>
      </c>
      <c r="D32">
        <f t="shared" si="2"/>
        <v>58</v>
      </c>
      <c r="E32">
        <f t="shared" si="3"/>
        <v>20</v>
      </c>
      <c r="F32">
        <f>INDEX(block!A:EF,block_gen!D19-16,block_gen!E19-1)</f>
        <v>2</v>
      </c>
      <c r="G32" t="str">
        <f ca="1">INDEX(block!A:EG,block_gen!D19,block_gen!E19)</f>
        <v>(-1,-2,4,);(-2,0,4,);(0,0,4,);(1,2,4,);</v>
      </c>
      <c r="H32" t="str">
        <f t="shared" ca="1" si="4"/>
        <v>{type=18, color_id=4, class=2, pos_list={{-1, -2},{-2, 0},{0, 0},{1, 2},}},</v>
      </c>
    </row>
    <row r="33" spans="1:8" x14ac:dyDescent="0.5">
      <c r="A33">
        <v>19</v>
      </c>
      <c r="B33">
        <f t="shared" si="0"/>
        <v>3</v>
      </c>
      <c r="C33">
        <f t="shared" si="1"/>
        <v>3</v>
      </c>
      <c r="D33">
        <f t="shared" si="2"/>
        <v>58</v>
      </c>
      <c r="E33">
        <f t="shared" si="3"/>
        <v>37</v>
      </c>
      <c r="F33">
        <f>INDEX(block!A:EF,block_gen!D20-16,block_gen!E20-1)</f>
        <v>2</v>
      </c>
      <c r="G33" t="str">
        <f ca="1">INDEX(block!A:EG,block_gen!D20,block_gen!E20)</f>
        <v>(-1,-2,4,);(1,-2,4,);(0,0,4,);(1,2,4,);</v>
      </c>
      <c r="H33" t="str">
        <f t="shared" ca="1" si="4"/>
        <v>{type=19, color_id=4, class=2, pos_list={{-1, -2},{1, -2},{0, 0},{1, 2},}},</v>
      </c>
    </row>
    <row r="34" spans="1:8" x14ac:dyDescent="0.5">
      <c r="A34">
        <v>20</v>
      </c>
      <c r="B34">
        <f t="shared" ref="B34:B50" si="5">_xlfn.FLOOR.MATH((A34-1)/8) + 1</f>
        <v>3</v>
      </c>
      <c r="C34">
        <f t="shared" ref="C34:C50" si="6">A34-(B34-1)*8</f>
        <v>4</v>
      </c>
      <c r="D34">
        <f t="shared" ref="D34:D50" si="7">(B34-1)*20 + 18</f>
        <v>58</v>
      </c>
      <c r="E34">
        <f t="shared" ref="E34:E50" si="8">(C34-1)*17+3</f>
        <v>54</v>
      </c>
      <c r="F34">
        <f>INDEX(block!A:EF,block_gen!D21-16,block_gen!E21-1)</f>
        <v>3</v>
      </c>
      <c r="G34" t="str">
        <f ca="1">INDEX(block!A:EG,block_gen!D21,block_gen!E21)</f>
        <v>(-1,-2,3,);(-2,0,3,);(-1,2,3,);(1,2,3,);</v>
      </c>
      <c r="H34" t="str">
        <f t="shared" ref="H34:H50" ca="1" si="9">HexStrToLua(A34, F34,G34)</f>
        <v>{type=20, color_id=3, class=3, pos_list={{-1, -2},{-2, 0},{-1, 2},{1, 2},}},</v>
      </c>
    </row>
    <row r="35" spans="1:8" x14ac:dyDescent="0.5">
      <c r="A35">
        <v>21</v>
      </c>
      <c r="B35">
        <f t="shared" si="5"/>
        <v>3</v>
      </c>
      <c r="C35">
        <f t="shared" si="6"/>
        <v>5</v>
      </c>
      <c r="D35">
        <f t="shared" si="7"/>
        <v>58</v>
      </c>
      <c r="E35">
        <f t="shared" si="8"/>
        <v>71</v>
      </c>
      <c r="F35">
        <f>INDEX(block!A:EF,block_gen!D22-16,block_gen!E22-1)</f>
        <v>3</v>
      </c>
      <c r="G35" t="str">
        <f ca="1">INDEX(block!A:EG,block_gen!D22,block_gen!E22)</f>
        <v>(1,-2,3,);(2,0,3,);(-1,2,3,);(1,2,3,);</v>
      </c>
      <c r="H35" t="str">
        <f t="shared" ca="1" si="9"/>
        <v>{type=21, color_id=3, class=3, pos_list={{1, -2},{2, 0},{-1, 2},{1, 2},}},</v>
      </c>
    </row>
    <row r="36" spans="1:8" x14ac:dyDescent="0.5">
      <c r="A36">
        <v>22</v>
      </c>
      <c r="B36">
        <f t="shared" si="5"/>
        <v>3</v>
      </c>
      <c r="C36">
        <f t="shared" si="6"/>
        <v>6</v>
      </c>
      <c r="D36">
        <f t="shared" si="7"/>
        <v>58</v>
      </c>
      <c r="E36">
        <f t="shared" si="8"/>
        <v>88</v>
      </c>
      <c r="F36">
        <f>INDEX(block!A:EF,block_gen!D23-16,block_gen!E23-1)</f>
        <v>3</v>
      </c>
      <c r="G36" t="str">
        <f ca="1">INDEX(block!A:EG,block_gen!D23,block_gen!E23)</f>
        <v>(-1,-2,3,);(1,-2,3,);(-2,0,3,);(-1,2,3,);</v>
      </c>
      <c r="H36" t="str">
        <f t="shared" ca="1" si="9"/>
        <v>{type=22, color_id=3, class=3, pos_list={{-1, -2},{1, -2},{-2, 0},{-1, 2},}},</v>
      </c>
    </row>
    <row r="37" spans="1:8" x14ac:dyDescent="0.5">
      <c r="A37">
        <v>23</v>
      </c>
      <c r="B37">
        <f t="shared" si="5"/>
        <v>3</v>
      </c>
      <c r="C37">
        <f t="shared" si="6"/>
        <v>7</v>
      </c>
      <c r="D37">
        <f t="shared" si="7"/>
        <v>58</v>
      </c>
      <c r="E37">
        <f t="shared" si="8"/>
        <v>105</v>
      </c>
      <c r="F37">
        <f>INDEX(block!A:EF,block_gen!D24-16,block_gen!E24-1)</f>
        <v>3</v>
      </c>
      <c r="G37" t="str">
        <f ca="1">INDEX(block!A:EG,block_gen!D24,block_gen!E24)</f>
        <v>(-1,-2,3,);(1,-2,3,);(2,0,3,);(1,2,3,);</v>
      </c>
      <c r="H37" t="str">
        <f t="shared" ca="1" si="9"/>
        <v>{type=23, color_id=3, class=3, pos_list={{-1, -2},{1, -2},{2, 0},{1, 2},}},</v>
      </c>
    </row>
    <row r="38" spans="1:8" x14ac:dyDescent="0.5">
      <c r="A38">
        <v>24</v>
      </c>
      <c r="B38">
        <f t="shared" si="5"/>
        <v>3</v>
      </c>
      <c r="C38">
        <f t="shared" si="6"/>
        <v>8</v>
      </c>
      <c r="D38">
        <f t="shared" si="7"/>
        <v>58</v>
      </c>
      <c r="E38">
        <f t="shared" si="8"/>
        <v>122</v>
      </c>
      <c r="F38">
        <f>INDEX(block!A:EF,block_gen!D25-16,block_gen!E25-1)</f>
        <v>3</v>
      </c>
      <c r="G38" t="str">
        <f ca="1">INDEX(block!A:EG,block_gen!D25,block_gen!E25)</f>
        <v>(-2,0,3,);(2,0,3,);(-1,2,3,);(1,2,3,);</v>
      </c>
      <c r="H38" t="str">
        <f t="shared" ca="1" si="9"/>
        <v>{type=24, color_id=3, class=3, pos_list={{-2, 0},{2, 0},{-1, 2},{1, 2},}},</v>
      </c>
    </row>
    <row r="39" spans="1:8" x14ac:dyDescent="0.5">
      <c r="A39">
        <v>25</v>
      </c>
      <c r="B39">
        <f t="shared" si="5"/>
        <v>4</v>
      </c>
      <c r="C39">
        <f t="shared" si="6"/>
        <v>1</v>
      </c>
      <c r="D39">
        <f t="shared" si="7"/>
        <v>78</v>
      </c>
      <c r="E39">
        <f t="shared" si="8"/>
        <v>3</v>
      </c>
      <c r="F39">
        <f>INDEX(block!A:EF,block_gen!D26-16,block_gen!E26-1)</f>
        <v>3</v>
      </c>
      <c r="G39" t="str">
        <f ca="1">INDEX(block!A:EG,block_gen!D26,block_gen!E26)</f>
        <v>(-1,-2,3,);(1,-2,3,);(-2,0,3,);(2,0,3,);</v>
      </c>
      <c r="H39" t="str">
        <f t="shared" ca="1" si="9"/>
        <v>{type=25, color_id=3, class=3, pos_list={{-1, -2},{1, -2},{-2, 0},{2, 0},}},</v>
      </c>
    </row>
    <row r="40" spans="1:8" x14ac:dyDescent="0.5">
      <c r="A40">
        <v>26</v>
      </c>
      <c r="B40">
        <f t="shared" si="5"/>
        <v>4</v>
      </c>
      <c r="C40">
        <f t="shared" si="6"/>
        <v>2</v>
      </c>
      <c r="D40">
        <f t="shared" si="7"/>
        <v>78</v>
      </c>
      <c r="E40">
        <f t="shared" si="8"/>
        <v>20</v>
      </c>
      <c r="F40">
        <f>INDEX(block!A:EF,block_gen!D27-16,block_gen!E27-1)</f>
        <v>4</v>
      </c>
      <c r="G40" t="str">
        <f ca="1">INDEX(block!A:EG,block_gen!D27,block_gen!E27)</f>
        <v>(-1,-2,6,);(1,-2,6,);(0,0,6,);(-1,2,6,);(1,2,6,);</v>
      </c>
      <c r="H40" t="str">
        <f t="shared" ca="1" si="9"/>
        <v>{type=26, color_id=6, class=4, pos_list={{-1, -2},{1, -2},{0, 0},{-1, 2},{1, 2},}},</v>
      </c>
    </row>
    <row r="41" spans="1:8" x14ac:dyDescent="0.5">
      <c r="A41">
        <v>27</v>
      </c>
      <c r="B41">
        <f t="shared" si="5"/>
        <v>4</v>
      </c>
      <c r="C41">
        <f t="shared" si="6"/>
        <v>3</v>
      </c>
      <c r="D41">
        <f t="shared" si="7"/>
        <v>78</v>
      </c>
      <c r="E41">
        <f t="shared" si="8"/>
        <v>37</v>
      </c>
      <c r="F41">
        <f>INDEX(block!A:EF,block_gen!D28-16,block_gen!E28-1)</f>
        <v>4</v>
      </c>
      <c r="G41" t="str">
        <f ca="1">INDEX(block!A:EG,block_gen!D28,block_gen!E28)</f>
        <v>(1,-2,6,);(-2,0,6,);(0,0,6,);(2,0,6,);(1,2,6,);</v>
      </c>
      <c r="H41" t="str">
        <f t="shared" ca="1" si="9"/>
        <v>{type=27, color_id=6, class=4, pos_list={{1, -2},{-2, 0},{0, 0},{2, 0},{1, 2},}},</v>
      </c>
    </row>
    <row r="42" spans="1:8" x14ac:dyDescent="0.5">
      <c r="A42">
        <v>28</v>
      </c>
      <c r="B42">
        <f t="shared" si="5"/>
        <v>4</v>
      </c>
      <c r="C42">
        <f t="shared" si="6"/>
        <v>4</v>
      </c>
      <c r="D42">
        <f t="shared" si="7"/>
        <v>78</v>
      </c>
      <c r="E42">
        <f t="shared" si="8"/>
        <v>54</v>
      </c>
      <c r="F42">
        <f>INDEX(block!A:EF,block_gen!D29-16,block_gen!E29-1)</f>
        <v>4</v>
      </c>
      <c r="G42" t="str">
        <f ca="1">INDEX(block!A:EG,block_gen!D29,block_gen!E29)</f>
        <v>(-1,-2,6,);(-2,0,6,);(0,0,6,);(2,0,6,);(-1,2,6,);</v>
      </c>
      <c r="H42" t="str">
        <f t="shared" ca="1" si="9"/>
        <v>{type=28, color_id=6, class=4, pos_list={{-1, -2},{-2, 0},{0, 0},{2, 0},{-1, 2},}},</v>
      </c>
    </row>
    <row r="43" spans="1:8" x14ac:dyDescent="0.5">
      <c r="A43">
        <v>29</v>
      </c>
      <c r="B43">
        <f t="shared" si="5"/>
        <v>4</v>
      </c>
      <c r="C43">
        <f t="shared" si="6"/>
        <v>5</v>
      </c>
      <c r="D43">
        <f t="shared" si="7"/>
        <v>78</v>
      </c>
      <c r="E43">
        <f t="shared" si="8"/>
        <v>71</v>
      </c>
      <c r="F43">
        <f>INDEX(block!A:EF,block_gen!D30-16,block_gen!E30-1)</f>
        <v>4</v>
      </c>
      <c r="G43" t="str">
        <f ca="1">INDEX(block!A:EG,block_gen!D30,block_gen!E30)</f>
        <v>(-1,-2,6,);(-2,0,6,);(0,0,6,);(2,0,6,);(1,2,6,);</v>
      </c>
      <c r="H43" t="str">
        <f t="shared" ca="1" si="9"/>
        <v>{type=29, color_id=6, class=4, pos_list={{-1, -2},{-2, 0},{0, 0},{2, 0},{1, 2},}},</v>
      </c>
    </row>
    <row r="44" spans="1:8" x14ac:dyDescent="0.5">
      <c r="A44">
        <v>30</v>
      </c>
      <c r="B44">
        <f t="shared" si="5"/>
        <v>4</v>
      </c>
      <c r="C44">
        <f t="shared" si="6"/>
        <v>6</v>
      </c>
      <c r="D44">
        <f t="shared" si="7"/>
        <v>78</v>
      </c>
      <c r="E44">
        <f t="shared" si="8"/>
        <v>88</v>
      </c>
      <c r="F44">
        <f>INDEX(block!A:EF,block_gen!D31-16,block_gen!E31-1)</f>
        <v>4</v>
      </c>
      <c r="G44" t="str">
        <f ca="1">INDEX(block!A:EG,block_gen!D31,block_gen!E31)</f>
        <v>(1,-2,6,);(-2,0,6,);(0,0,6,);(2,0,6,);(-1,2,6,);</v>
      </c>
      <c r="H44" t="str">
        <f t="shared" ca="1" si="9"/>
        <v>{type=30, color_id=6, class=4, pos_list={{1, -2},{-2, 0},{0, 0},{2, 0},{-1, 2},}},</v>
      </c>
    </row>
    <row r="45" spans="1:8" x14ac:dyDescent="0.5">
      <c r="A45">
        <v>31</v>
      </c>
      <c r="B45">
        <f t="shared" si="5"/>
        <v>4</v>
      </c>
      <c r="C45">
        <f t="shared" si="6"/>
        <v>7</v>
      </c>
      <c r="D45">
        <f t="shared" si="7"/>
        <v>78</v>
      </c>
      <c r="E45">
        <f t="shared" si="8"/>
        <v>105</v>
      </c>
      <c r="F45">
        <f>INDEX(block!A:EF,block_gen!D32-16,block_gen!E32-1)</f>
        <v>4</v>
      </c>
      <c r="G45" t="str">
        <f ca="1">INDEX(block!A:EG,block_gen!D32,block_gen!E32)</f>
        <v>(1,-2,3,);(0,0,3,);(2,0,3,);(-1,2,3,);(1,2,3,);</v>
      </c>
      <c r="H45" t="str">
        <f t="shared" ca="1" si="9"/>
        <v>{type=31, color_id=3, class=4, pos_list={{1, -2},{0, 0},{2, 0},{-1, 2},{1, 2},}},</v>
      </c>
    </row>
    <row r="46" spans="1:8" x14ac:dyDescent="0.5">
      <c r="A46">
        <v>32</v>
      </c>
      <c r="B46">
        <f t="shared" si="5"/>
        <v>4</v>
      </c>
      <c r="C46">
        <f t="shared" si="6"/>
        <v>8</v>
      </c>
      <c r="D46">
        <f t="shared" si="7"/>
        <v>78</v>
      </c>
      <c r="E46">
        <f t="shared" si="8"/>
        <v>122</v>
      </c>
      <c r="F46">
        <f>INDEX(block!A:EF,block_gen!D33-16,block_gen!E33-1)</f>
        <v>4</v>
      </c>
      <c r="G46" t="str">
        <f ca="1">INDEX(block!A:EG,block_gen!D33,block_gen!E33)</f>
        <v>(-2,0,3,);(0,0,3,);(2,0,3,);(-1,2,3,);(1,2,3,);</v>
      </c>
      <c r="H46" t="str">
        <f t="shared" ca="1" si="9"/>
        <v>{type=32, color_id=3, class=4, pos_list={{-2, 0},{0, 0},{2, 0},{-1, 2},{1, 2},}},</v>
      </c>
    </row>
    <row r="47" spans="1:8" x14ac:dyDescent="0.5">
      <c r="A47">
        <v>33</v>
      </c>
      <c r="B47">
        <f t="shared" si="5"/>
        <v>5</v>
      </c>
      <c r="C47">
        <f t="shared" si="6"/>
        <v>1</v>
      </c>
      <c r="D47">
        <f t="shared" si="7"/>
        <v>98</v>
      </c>
      <c r="E47">
        <f t="shared" si="8"/>
        <v>3</v>
      </c>
      <c r="F47">
        <f>INDEX(block!A:EF,block_gen!D34-16,block_gen!E34-1)</f>
        <v>4</v>
      </c>
      <c r="G47" t="str">
        <f ca="1">INDEX(block!A:EG,block_gen!D34,block_gen!E34)</f>
        <v>(-1,-2,3,);(-2,0,3,);(0,0,3,);(-1,2,3,);(1,2,3,);</v>
      </c>
      <c r="H47" t="str">
        <f t="shared" ca="1" si="9"/>
        <v>{type=33, color_id=3, class=4, pos_list={{-1, -2},{-2, 0},{0, 0},{-1, 2},{1, 2},}},</v>
      </c>
    </row>
    <row r="48" spans="1:8" x14ac:dyDescent="0.5">
      <c r="A48">
        <v>34</v>
      </c>
      <c r="B48">
        <f t="shared" si="5"/>
        <v>5</v>
      </c>
      <c r="C48">
        <f t="shared" si="6"/>
        <v>2</v>
      </c>
      <c r="D48">
        <f t="shared" si="7"/>
        <v>98</v>
      </c>
      <c r="E48">
        <f t="shared" si="8"/>
        <v>20</v>
      </c>
      <c r="F48">
        <f>INDEX(block!A:EF,block_gen!D35-16,block_gen!E35-1)</f>
        <v>4</v>
      </c>
      <c r="G48" t="str">
        <f ca="1">INDEX(block!A:EG,block_gen!D35,block_gen!E35)</f>
        <v>(-1,-2,3,);(1,-2,3,);(-2,0,3,);(0,0,3,);(-1,2,3,);</v>
      </c>
      <c r="H48" t="str">
        <f t="shared" ca="1" si="9"/>
        <v>{type=34, color_id=3, class=4, pos_list={{-1, -2},{1, -2},{-2, 0},{0, 0},{-1, 2},}},</v>
      </c>
    </row>
    <row r="49" spans="1:8" x14ac:dyDescent="0.5">
      <c r="A49">
        <v>35</v>
      </c>
      <c r="B49">
        <f t="shared" si="5"/>
        <v>5</v>
      </c>
      <c r="C49">
        <f t="shared" si="6"/>
        <v>3</v>
      </c>
      <c r="D49">
        <f t="shared" si="7"/>
        <v>98</v>
      </c>
      <c r="E49">
        <f t="shared" si="8"/>
        <v>37</v>
      </c>
      <c r="F49">
        <f>INDEX(block!A:EF,block_gen!D36-16,block_gen!E36-1)</f>
        <v>4</v>
      </c>
      <c r="G49" t="str">
        <f ca="1">INDEX(block!A:EG,block_gen!D36,block_gen!E36)</f>
        <v>(-1,-2,3,);(1,-2,3,);(-2,0,3,);(0,0,3,);(2,0,3,);</v>
      </c>
      <c r="H49" t="str">
        <f t="shared" ca="1" si="9"/>
        <v>{type=35, color_id=3, class=4, pos_list={{-1, -2},{1, -2},{-2, 0},{0, 0},{2, 0},}},</v>
      </c>
    </row>
    <row r="50" spans="1:8" x14ac:dyDescent="0.5">
      <c r="A50">
        <v>36</v>
      </c>
      <c r="B50">
        <f t="shared" si="5"/>
        <v>5</v>
      </c>
      <c r="C50">
        <f t="shared" si="6"/>
        <v>4</v>
      </c>
      <c r="D50">
        <f t="shared" si="7"/>
        <v>98</v>
      </c>
      <c r="E50">
        <f t="shared" si="8"/>
        <v>54</v>
      </c>
      <c r="F50">
        <f>INDEX(block!A:EF,block_gen!D37-16,block_gen!E37-1)</f>
        <v>4</v>
      </c>
      <c r="G50" t="str">
        <f ca="1">INDEX(block!A:EG,block_gen!D37,block_gen!E37)</f>
        <v>(-1,-2,3,);(1,-2,3,);(0,0,3,);(2,0,3,);(1,2,3,);</v>
      </c>
      <c r="H50" t="str">
        <f t="shared" ca="1" si="9"/>
        <v>{type=36, color_id=3, class=4, pos_list={{-1, -2},{1, -2},{0, 0},{2, 0},{1, 2},}},</v>
      </c>
    </row>
  </sheetData>
  <autoFilter ref="A1:H1">
    <sortState ref="A2:H50">
      <sortCondition ref="F1"/>
    </sortState>
  </autoFilter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I14"/>
  <sheetViews>
    <sheetView workbookViewId="0">
      <selection activeCell="F13" sqref="F13"/>
    </sheetView>
  </sheetViews>
  <sheetFormatPr defaultRowHeight="15" x14ac:dyDescent="0.5"/>
  <cols>
    <col min="1" max="1" width="3.52734375" customWidth="1"/>
    <col min="2" max="2" width="3.76171875" customWidth="1"/>
    <col min="3" max="3" width="9.234375" customWidth="1"/>
    <col min="7" max="7" width="4.76171875" customWidth="1"/>
    <col min="9" max="9" width="5.87890625" customWidth="1"/>
  </cols>
  <sheetData>
    <row r="2" spans="2:9" x14ac:dyDescent="0.5">
      <c r="B2" s="17" t="s">
        <v>79</v>
      </c>
      <c r="C2" s="17" t="s">
        <v>80</v>
      </c>
      <c r="D2" s="17" t="s">
        <v>81</v>
      </c>
      <c r="E2" s="17" t="s">
        <v>82</v>
      </c>
      <c r="F2" s="17" t="s">
        <v>83</v>
      </c>
      <c r="H2" s="17" t="s">
        <v>85</v>
      </c>
      <c r="I2" s="17">
        <f>MAX(B:B)</f>
        <v>8</v>
      </c>
    </row>
    <row r="3" spans="2:9" x14ac:dyDescent="0.5">
      <c r="B3" s="35">
        <v>1</v>
      </c>
      <c r="C3" s="36">
        <v>255</v>
      </c>
      <c r="D3" s="36">
        <v>220</v>
      </c>
      <c r="E3" s="36">
        <v>137</v>
      </c>
      <c r="F3" s="36" t="str">
        <f ca="1">GET_RGB(C3,D3,E3)</f>
        <v>9035007</v>
      </c>
      <c r="H3" s="17" t="s">
        <v>84</v>
      </c>
      <c r="I3" s="17">
        <f>MIN(B:B)</f>
        <v>1</v>
      </c>
    </row>
    <row r="4" spans="2:9" x14ac:dyDescent="0.5">
      <c r="B4" s="37">
        <v>2</v>
      </c>
      <c r="C4" s="17">
        <v>255</v>
      </c>
      <c r="D4" s="17">
        <v>137</v>
      </c>
      <c r="E4" s="17">
        <v>181</v>
      </c>
      <c r="F4" s="36" t="str">
        <f t="shared" ref="F4:F8" ca="1" si="0">GET_RGB(C4,D4,E4)</f>
        <v>11897343</v>
      </c>
      <c r="G4" s="34"/>
    </row>
    <row r="5" spans="2:9" x14ac:dyDescent="0.5">
      <c r="B5" s="38">
        <v>3</v>
      </c>
      <c r="C5" s="17">
        <v>245</v>
      </c>
      <c r="D5" s="17">
        <v>162</v>
      </c>
      <c r="E5" s="17">
        <v>11</v>
      </c>
      <c r="F5" s="36" t="str">
        <f t="shared" ca="1" si="0"/>
        <v>762613</v>
      </c>
      <c r="G5" s="34"/>
    </row>
    <row r="6" spans="2:9" x14ac:dyDescent="0.5">
      <c r="B6" s="39">
        <v>4</v>
      </c>
      <c r="C6" s="17">
        <v>137</v>
      </c>
      <c r="D6" s="17">
        <v>140</v>
      </c>
      <c r="E6" s="17">
        <v>255</v>
      </c>
      <c r="F6" s="36" t="str">
        <f t="shared" ca="1" si="0"/>
        <v>16747657</v>
      </c>
      <c r="G6" s="34"/>
    </row>
    <row r="7" spans="2:9" x14ac:dyDescent="0.5">
      <c r="B7" s="40">
        <v>5</v>
      </c>
      <c r="C7" s="17">
        <v>113</v>
      </c>
      <c r="D7" s="17">
        <v>224</v>
      </c>
      <c r="E7" s="17">
        <v>150</v>
      </c>
      <c r="F7" s="36" t="str">
        <f t="shared" ca="1" si="0"/>
        <v>9887857</v>
      </c>
      <c r="G7" s="34"/>
    </row>
    <row r="8" spans="2:9" x14ac:dyDescent="0.5">
      <c r="B8" s="41">
        <v>6</v>
      </c>
      <c r="C8" s="17">
        <v>207</v>
      </c>
      <c r="D8" s="17">
        <v>243</v>
      </c>
      <c r="E8" s="17">
        <v>129</v>
      </c>
      <c r="F8" s="36" t="str">
        <f t="shared" ca="1" si="0"/>
        <v>8516559</v>
      </c>
      <c r="G8" s="34"/>
    </row>
    <row r="9" spans="2:9" x14ac:dyDescent="0.5">
      <c r="B9" s="51">
        <v>7</v>
      </c>
      <c r="C9" s="36">
        <v>31</v>
      </c>
      <c r="D9" s="36">
        <v>78</v>
      </c>
      <c r="E9" s="36">
        <v>120</v>
      </c>
      <c r="F9" s="36" t="str">
        <f t="shared" ref="F9" ca="1" si="1">GET_RGB(C9,D9,E9)</f>
        <v>7884319</v>
      </c>
      <c r="G9" s="34"/>
    </row>
    <row r="10" spans="2:9" x14ac:dyDescent="0.5">
      <c r="B10" s="52">
        <v>8</v>
      </c>
      <c r="C10" s="36">
        <v>82</v>
      </c>
      <c r="D10" s="36">
        <v>82</v>
      </c>
      <c r="E10" s="36">
        <v>82</v>
      </c>
      <c r="F10" s="36" t="str">
        <f t="shared" ref="F10" ca="1" si="2">GET_RGB(C10,D10,E10)</f>
        <v>5395026</v>
      </c>
      <c r="G10" s="34"/>
    </row>
    <row r="11" spans="2:9" x14ac:dyDescent="0.5">
      <c r="G11" s="34"/>
    </row>
    <row r="12" spans="2:9" x14ac:dyDescent="0.5">
      <c r="F12" s="34"/>
      <c r="G12" s="34"/>
    </row>
    <row r="13" spans="2:9" x14ac:dyDescent="0.5">
      <c r="B13" s="34"/>
      <c r="F13" s="34"/>
      <c r="G13" s="34"/>
    </row>
    <row r="14" spans="2:9" x14ac:dyDescent="0.5">
      <c r="F14" s="3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S3"/>
  <sheetViews>
    <sheetView showGridLines="0" zoomScale="55" zoomScaleNormal="55" workbookViewId="0">
      <selection activeCell="E59" sqref="E59"/>
    </sheetView>
  </sheetViews>
  <sheetFormatPr defaultColWidth="8.87890625" defaultRowHeight="15" x14ac:dyDescent="0.5"/>
  <cols>
    <col min="1" max="16384" width="8.87890625" style="5"/>
  </cols>
  <sheetData>
    <row r="2" spans="2:19" x14ac:dyDescent="0.5">
      <c r="B2" s="109">
        <v>255220137</v>
      </c>
      <c r="C2" s="110"/>
      <c r="D2" s="110"/>
      <c r="E2" s="109">
        <v>255137181</v>
      </c>
      <c r="F2" s="110"/>
      <c r="G2" s="110"/>
      <c r="H2" s="110" t="s">
        <v>65</v>
      </c>
      <c r="I2" s="110"/>
      <c r="J2" s="110"/>
      <c r="K2" s="109">
        <v>137140255</v>
      </c>
      <c r="L2" s="110"/>
      <c r="M2" s="110"/>
      <c r="N2" s="109">
        <v>113224150</v>
      </c>
      <c r="O2" s="110"/>
      <c r="P2" s="110"/>
      <c r="Q2" s="109">
        <v>207243129</v>
      </c>
      <c r="R2" s="110"/>
      <c r="S2" s="110"/>
    </row>
    <row r="3" spans="2:19" x14ac:dyDescent="0.5"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</row>
  </sheetData>
  <mergeCells count="6">
    <mergeCell ref="Q2:S3"/>
    <mergeCell ref="B2:D3"/>
    <mergeCell ref="E2:G3"/>
    <mergeCell ref="H2:J3"/>
    <mergeCell ref="K2:M3"/>
    <mergeCell ref="N2:P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2"/>
  <sheetViews>
    <sheetView showGridLines="0" workbookViewId="0">
      <selection activeCell="I27" sqref="I27"/>
    </sheetView>
  </sheetViews>
  <sheetFormatPr defaultColWidth="6.76171875" defaultRowHeight="15" x14ac:dyDescent="0.5"/>
  <cols>
    <col min="23" max="23" width="7.64453125" bestFit="1" customWidth="1"/>
  </cols>
  <sheetData>
    <row r="1" spans="1:7" s="6" customFormat="1" ht="15.75" x14ac:dyDescent="0.5">
      <c r="A1" s="6" t="s">
        <v>66</v>
      </c>
    </row>
    <row r="2" spans="1:7" x14ac:dyDescent="0.5">
      <c r="B2" s="17" t="s">
        <v>62</v>
      </c>
      <c r="C2" s="17" t="s">
        <v>63</v>
      </c>
      <c r="D2" s="17" t="s">
        <v>68</v>
      </c>
      <c r="E2" s="17" t="s">
        <v>67</v>
      </c>
      <c r="F2" s="17" t="s">
        <v>64</v>
      </c>
      <c r="G2" s="17" t="s">
        <v>61</v>
      </c>
    </row>
    <row r="3" spans="1:7" x14ac:dyDescent="0.5">
      <c r="B3" s="17">
        <v>1</v>
      </c>
      <c r="C3" s="17">
        <v>1</v>
      </c>
      <c r="D3" s="17">
        <v>9</v>
      </c>
      <c r="E3" s="17"/>
      <c r="F3" s="17"/>
      <c r="G3" s="17">
        <v>220</v>
      </c>
    </row>
    <row r="4" spans="1:7" x14ac:dyDescent="0.5">
      <c r="B4" s="17">
        <v>4</v>
      </c>
      <c r="C4" s="17">
        <v>1</v>
      </c>
      <c r="D4" s="17">
        <v>5</v>
      </c>
      <c r="E4" s="17"/>
      <c r="F4" s="17"/>
      <c r="G4" s="17">
        <v>140</v>
      </c>
    </row>
    <row r="5" spans="1:7" x14ac:dyDescent="0.5">
      <c r="B5" s="17">
        <v>1</v>
      </c>
      <c r="C5" s="17">
        <v>2</v>
      </c>
      <c r="D5" s="17">
        <v>9</v>
      </c>
      <c r="E5" s="17"/>
      <c r="F5" s="17"/>
      <c r="G5" s="17">
        <v>340</v>
      </c>
    </row>
    <row r="6" spans="1:7" x14ac:dyDescent="0.5">
      <c r="B6" s="17">
        <v>4</v>
      </c>
      <c r="C6" s="17">
        <v>1</v>
      </c>
      <c r="D6" s="17">
        <v>8</v>
      </c>
      <c r="E6" s="17"/>
      <c r="F6" s="17"/>
      <c r="G6" s="17">
        <v>200</v>
      </c>
    </row>
    <row r="7" spans="1:7" x14ac:dyDescent="0.5">
      <c r="B7" s="17">
        <v>4</v>
      </c>
      <c r="C7" s="17">
        <v>2</v>
      </c>
      <c r="D7" s="17">
        <v>11</v>
      </c>
      <c r="E7" s="17">
        <v>200</v>
      </c>
      <c r="F7" s="17">
        <v>570</v>
      </c>
      <c r="G7" s="17">
        <f>F7-E7</f>
        <v>370</v>
      </c>
    </row>
    <row r="8" spans="1:7" x14ac:dyDescent="0.5">
      <c r="B8" s="17">
        <v>4</v>
      </c>
      <c r="C8" s="17">
        <v>2</v>
      </c>
      <c r="D8" s="17">
        <v>15</v>
      </c>
      <c r="E8" s="17">
        <v>850</v>
      </c>
      <c r="F8" s="17">
        <v>1340</v>
      </c>
      <c r="G8" s="17">
        <f>F8-E8</f>
        <v>490</v>
      </c>
    </row>
    <row r="9" spans="1:7" x14ac:dyDescent="0.5">
      <c r="B9" s="17">
        <v>4</v>
      </c>
      <c r="C9" s="17">
        <v>3</v>
      </c>
      <c r="D9" s="17">
        <v>18</v>
      </c>
      <c r="E9" s="17">
        <v>1120</v>
      </c>
      <c r="F9" s="17">
        <v>1880</v>
      </c>
      <c r="G9" s="17">
        <f>F9-E9</f>
        <v>760</v>
      </c>
    </row>
    <row r="11" spans="1:7" x14ac:dyDescent="0.5">
      <c r="B11" t="s">
        <v>69</v>
      </c>
    </row>
    <row r="12" spans="1:7" s="7" customFormat="1" ht="15.75" x14ac:dyDescent="0.5">
      <c r="A12" s="7" t="s">
        <v>70</v>
      </c>
    </row>
    <row r="13" spans="1:7" x14ac:dyDescent="0.5">
      <c r="B13" t="s">
        <v>100</v>
      </c>
      <c r="C13" t="s">
        <v>71</v>
      </c>
    </row>
    <row r="14" spans="1:7" x14ac:dyDescent="0.5">
      <c r="B14" t="s">
        <v>101</v>
      </c>
      <c r="C14" t="s">
        <v>90</v>
      </c>
    </row>
    <row r="15" spans="1:7" x14ac:dyDescent="0.5">
      <c r="B15" t="s">
        <v>101</v>
      </c>
      <c r="C15" t="s">
        <v>89</v>
      </c>
    </row>
    <row r="16" spans="1:7" x14ac:dyDescent="0.5">
      <c r="C16" t="s">
        <v>102</v>
      </c>
    </row>
    <row r="17" spans="3:23" x14ac:dyDescent="0.5">
      <c r="C17" t="s">
        <v>95</v>
      </c>
    </row>
    <row r="18" spans="3:23" x14ac:dyDescent="0.5">
      <c r="D18" t="s">
        <v>91</v>
      </c>
    </row>
    <row r="19" spans="3:23" x14ac:dyDescent="0.5">
      <c r="D19" t="s">
        <v>92</v>
      </c>
    </row>
    <row r="20" spans="3:23" x14ac:dyDescent="0.5">
      <c r="D20" t="s">
        <v>93</v>
      </c>
    </row>
    <row r="21" spans="3:23" x14ac:dyDescent="0.5">
      <c r="C21" t="s">
        <v>94</v>
      </c>
    </row>
    <row r="22" spans="3:23" x14ac:dyDescent="0.5">
      <c r="C22" t="s">
        <v>96</v>
      </c>
    </row>
    <row r="23" spans="3:23" x14ac:dyDescent="0.5">
      <c r="D23" t="s">
        <v>97</v>
      </c>
    </row>
    <row r="24" spans="3:23" x14ac:dyDescent="0.5">
      <c r="D24" t="s">
        <v>98</v>
      </c>
      <c r="L24" t="s">
        <v>105</v>
      </c>
    </row>
    <row r="25" spans="3:23" x14ac:dyDescent="0.5">
      <c r="D25" t="s">
        <v>99</v>
      </c>
      <c r="J25" t="s">
        <v>103</v>
      </c>
      <c r="K25" t="s">
        <v>104</v>
      </c>
      <c r="L25" t="s">
        <v>106</v>
      </c>
    </row>
    <row r="26" spans="3:23" x14ac:dyDescent="0.5">
      <c r="L26">
        <f>1536/6</f>
        <v>256</v>
      </c>
      <c r="V26" t="s">
        <v>107</v>
      </c>
      <c r="W26" t="s">
        <v>108</v>
      </c>
    </row>
    <row r="27" spans="3:23" x14ac:dyDescent="0.5">
      <c r="L27">
        <f>1536/2</f>
        <v>768</v>
      </c>
      <c r="O27">
        <v>1</v>
      </c>
      <c r="P27">
        <v>2</v>
      </c>
      <c r="Q27">
        <v>3</v>
      </c>
      <c r="R27">
        <v>4</v>
      </c>
      <c r="U27">
        <v>1</v>
      </c>
      <c r="V27">
        <f>IF(MOD(U27,4)=0,4,MOD(U27,4))</f>
        <v>1</v>
      </c>
      <c r="W27">
        <f>FLOOR((U27+3)/4,1)</f>
        <v>1</v>
      </c>
    </row>
    <row r="28" spans="3:23" x14ac:dyDescent="0.5">
      <c r="O28">
        <v>5</v>
      </c>
      <c r="P28">
        <v>6</v>
      </c>
      <c r="Q28">
        <v>7</v>
      </c>
      <c r="R28">
        <v>8</v>
      </c>
      <c r="U28">
        <v>2</v>
      </c>
      <c r="V28">
        <f t="shared" ref="V28:V32" si="0">IF(MOD(U28,4)=0,4,MOD(U28,4))</f>
        <v>2</v>
      </c>
      <c r="W28">
        <f t="shared" ref="W28:W32" si="1">FLOOR((U28+3)/4,1)</f>
        <v>1</v>
      </c>
    </row>
    <row r="29" spans="3:23" x14ac:dyDescent="0.5">
      <c r="U29">
        <v>3</v>
      </c>
      <c r="V29">
        <f t="shared" si="0"/>
        <v>3</v>
      </c>
      <c r="W29">
        <f t="shared" si="1"/>
        <v>1</v>
      </c>
    </row>
    <row r="30" spans="3:23" x14ac:dyDescent="0.5">
      <c r="U30">
        <v>4</v>
      </c>
      <c r="V30">
        <f t="shared" si="0"/>
        <v>4</v>
      </c>
      <c r="W30">
        <f t="shared" si="1"/>
        <v>1</v>
      </c>
    </row>
    <row r="31" spans="3:23" x14ac:dyDescent="0.5">
      <c r="U31">
        <v>5</v>
      </c>
      <c r="V31">
        <f t="shared" si="0"/>
        <v>1</v>
      </c>
      <c r="W31">
        <f t="shared" si="1"/>
        <v>2</v>
      </c>
    </row>
    <row r="32" spans="3:23" x14ac:dyDescent="0.5">
      <c r="U32">
        <v>6</v>
      </c>
      <c r="V32">
        <f t="shared" si="0"/>
        <v>2</v>
      </c>
      <c r="W32">
        <f t="shared" si="1"/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3</vt:i4>
      </vt:variant>
    </vt:vector>
  </HeadingPairs>
  <TitlesOfParts>
    <vt:vector size="11" baseType="lpstr">
      <vt:lpstr>cord</vt:lpstr>
      <vt:lpstr>map</vt:lpstr>
      <vt:lpstr>block</vt:lpstr>
      <vt:lpstr>block_gen</vt:lpstr>
      <vt:lpstr>gen_final</vt:lpstr>
      <vt:lpstr>cfg</vt:lpstr>
      <vt:lpstr>origin</vt:lpstr>
      <vt:lpstr>todo</vt:lpstr>
      <vt:lpstr>COLORS</vt:lpstr>
      <vt:lpstr>MAX_COLOR_ID</vt:lpstr>
      <vt:lpstr>MIN_COLOR_ID</vt:lpstr>
    </vt:vector>
  </TitlesOfParts>
  <Company>ejoy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lovebird</cp:lastModifiedBy>
  <cp:lastPrinted>2015-10-22T03:20:59Z</cp:lastPrinted>
  <dcterms:created xsi:type="dcterms:W3CDTF">2015-10-15T06:20:46Z</dcterms:created>
  <dcterms:modified xsi:type="dcterms:W3CDTF">2017-06-25T13:35:23Z</dcterms:modified>
</cp:coreProperties>
</file>